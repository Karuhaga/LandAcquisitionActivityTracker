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064995AB-7667-4A0C-AFA9-CBB351B70F1F}" xr6:coauthVersionLast="37" xr6:coauthVersionMax="37" xr10:uidLastSave="{00000000-0000-0000-0000-000000000000}"/>
  <bookViews>
    <workbookView xWindow="0" yWindow="0" windowWidth="9750" windowHeight="6180" xr2:uid="{8DB5DB07-7E4D-420D-97C7-87F62B2EDCD3}"/>
  </bookViews>
  <sheets>
    <sheet name="Arithmetic" sheetId="1" r:id="rId1"/>
    <sheet name="Value for Money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2" i="1"/>
  <c r="G6" i="1"/>
  <c r="E6" i="2"/>
  <c r="E7" i="2"/>
  <c r="E8" i="2"/>
  <c r="E9" i="2"/>
  <c r="E10" i="2"/>
  <c r="E11" i="2"/>
  <c r="E5" i="2"/>
  <c r="E12" i="1"/>
  <c r="E11" i="1"/>
  <c r="E10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<sst xmlns="http://schemas.openxmlformats.org/spreadsheetml/2006/main" count="44" uniqueCount="23">
  <si>
    <t>Activity</t>
  </si>
  <si>
    <t>Input Qty</t>
  </si>
  <si>
    <t>Unit of Measure</t>
  </si>
  <si>
    <t>Unit Price</t>
  </si>
  <si>
    <t>Total Price</t>
  </si>
  <si>
    <t>M365 E3 No teams annual subscription</t>
  </si>
  <si>
    <t>M365 Business standard annual subscription</t>
  </si>
  <si>
    <t>M365 Business Basic annual subscription</t>
  </si>
  <si>
    <t>M365 E5 No teams annual subscription</t>
  </si>
  <si>
    <t>Power Bi Pro Annual subscription</t>
  </si>
  <si>
    <t>Support services shall be provided at no cost</t>
  </si>
  <si>
    <t>Service</t>
  </si>
  <si>
    <t>License</t>
  </si>
  <si>
    <t>Microsoft teams enterprise annual subscription</t>
  </si>
  <si>
    <t>Subtotal</t>
  </si>
  <si>
    <t>VAT @18%</t>
  </si>
  <si>
    <t>TOTAL</t>
  </si>
  <si>
    <t>Variance</t>
  </si>
  <si>
    <t>Contract Signed on October 31, 2024</t>
  </si>
  <si>
    <t>Variance (UGX)</t>
  </si>
  <si>
    <t>Unit Price (UGX)</t>
  </si>
  <si>
    <t>Bid Submitted on November 26, 2025</t>
  </si>
  <si>
    <t>Unit Price(UGX)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</si>
</sst>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3" fontId="1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3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/>
    <xf numFmtId="0" fontId="0" fillId="2" borderId="1" xfId="0" applyFill="1" applyBorder="1"/>
    <xf numFmtId="3" fontId="0" fillId="2" borderId="1" xfId="0" applyNumberFormat="1" applyFill="1" applyBorder="1"/>
    <xf numFmtId="3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F978-CF67-4A1A-8FBD-6DA486F0BA80}">
  <dimension ref="A1:G15"/>
  <sheetViews>
    <sheetView tabSelected="1" workbookViewId="0">
      <selection sqref="A1:H16"/>
    </sheetView>
  </sheetViews>
  <sheetFormatPr defaultRowHeight="14.5" x14ac:dyDescent="0.35"/>
  <cols>
    <col min="1" max="1" width="41.7265625" bestFit="1" customWidth="1"/>
    <col min="2" max="2" width="8.7265625" style="6"/>
    <col min="3" max="3" width="14.36328125" bestFit="1" customWidth="1"/>
    <col min="4" max="4" width="9.81640625" style="6" bestFit="1" customWidth="1"/>
    <col min="5" max="6" width="10.7265625" style="6" bestFit="1" customWidth="1"/>
    <col min="7" max="7" width="9.7265625" bestFit="1" customWidth="1"/>
  </cols>
  <sheetData>
    <row r="1" spans="1:7" s="3" customFormat="1" x14ac:dyDescent="0.35">
      <c r="A1" s="2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16"/>
    </row>
    <row r="2" spans="1:7" x14ac:dyDescent="0.35">
      <c r="A2" s="1" t="s">
        <v>5</v>
      </c>
      <c r="B2" s="5">
        <v>130</v>
      </c>
      <c r="C2" s="1" t="s">
        <v>12</v>
      </c>
      <c r="D2" s="5">
        <v>1400000</v>
      </c>
      <c r="E2" s="5">
        <f>B2*D2</f>
        <v>182000000</v>
      </c>
    </row>
    <row r="3" spans="1:7" x14ac:dyDescent="0.35">
      <c r="A3" s="1" t="s">
        <v>6</v>
      </c>
      <c r="B3" s="5">
        <v>300</v>
      </c>
      <c r="C3" s="1" t="s">
        <v>12</v>
      </c>
      <c r="D3" s="5">
        <v>600000</v>
      </c>
      <c r="E3" s="5">
        <f t="shared" ref="E3:E8" si="0">B3*D3</f>
        <v>180000000</v>
      </c>
    </row>
    <row r="4" spans="1:7" x14ac:dyDescent="0.35">
      <c r="A4" s="1" t="s">
        <v>13</v>
      </c>
      <c r="B4" s="5">
        <v>20</v>
      </c>
      <c r="C4" s="1" t="s">
        <v>12</v>
      </c>
      <c r="D4" s="5">
        <v>370000</v>
      </c>
      <c r="E4" s="5">
        <f t="shared" si="0"/>
        <v>7400000</v>
      </c>
    </row>
    <row r="5" spans="1:7" x14ac:dyDescent="0.35">
      <c r="A5" s="1" t="s">
        <v>7</v>
      </c>
      <c r="B5" s="5">
        <v>30</v>
      </c>
      <c r="C5" s="1" t="s">
        <v>12</v>
      </c>
      <c r="D5" s="5">
        <v>355000</v>
      </c>
      <c r="E5" s="5">
        <f t="shared" si="0"/>
        <v>10650000</v>
      </c>
    </row>
    <row r="6" spans="1:7" s="20" customFormat="1" x14ac:dyDescent="0.35">
      <c r="A6" s="17" t="s">
        <v>8</v>
      </c>
      <c r="B6" s="18">
        <v>35</v>
      </c>
      <c r="C6" s="17" t="s">
        <v>12</v>
      </c>
      <c r="D6" s="18">
        <v>2410000</v>
      </c>
      <c r="E6" s="18">
        <f t="shared" si="0"/>
        <v>84350000</v>
      </c>
      <c r="F6" s="19">
        <v>72300000</v>
      </c>
      <c r="G6" s="19">
        <f>E6-F6</f>
        <v>12050000</v>
      </c>
    </row>
    <row r="7" spans="1:7" x14ac:dyDescent="0.35">
      <c r="A7" s="1" t="s">
        <v>9</v>
      </c>
      <c r="B7" s="5">
        <v>4</v>
      </c>
      <c r="C7" s="1" t="s">
        <v>12</v>
      </c>
      <c r="D7" s="5">
        <v>650000</v>
      </c>
      <c r="E7" s="5">
        <f t="shared" si="0"/>
        <v>2600000</v>
      </c>
    </row>
    <row r="8" spans="1:7" x14ac:dyDescent="0.35">
      <c r="A8" s="1" t="s">
        <v>10</v>
      </c>
      <c r="B8" s="5">
        <v>1</v>
      </c>
      <c r="C8" s="1" t="s">
        <v>11</v>
      </c>
      <c r="D8" s="5">
        <v>0</v>
      </c>
      <c r="E8" s="5">
        <f t="shared" si="0"/>
        <v>0</v>
      </c>
    </row>
    <row r="9" spans="1:7" x14ac:dyDescent="0.35">
      <c r="A9" s="1"/>
      <c r="B9" s="5"/>
      <c r="C9" s="1"/>
      <c r="D9" s="5"/>
      <c r="E9" s="5"/>
    </row>
    <row r="10" spans="1:7" x14ac:dyDescent="0.35">
      <c r="A10" s="1"/>
      <c r="B10" s="5"/>
      <c r="C10" s="1"/>
      <c r="D10" s="4" t="s">
        <v>14</v>
      </c>
      <c r="E10" s="4">
        <f>SUM(E2:E8)</f>
        <v>467000000</v>
      </c>
    </row>
    <row r="11" spans="1:7" x14ac:dyDescent="0.35">
      <c r="A11" s="1"/>
      <c r="B11" s="5"/>
      <c r="C11" s="1"/>
      <c r="D11" s="4" t="s">
        <v>15</v>
      </c>
      <c r="E11" s="4">
        <f>(18/100)*E10</f>
        <v>84060000</v>
      </c>
    </row>
    <row r="12" spans="1:7" x14ac:dyDescent="0.35">
      <c r="A12" s="1"/>
      <c r="B12" s="5"/>
      <c r="C12" s="1"/>
      <c r="D12" s="4" t="s">
        <v>16</v>
      </c>
      <c r="E12" s="4">
        <f>SUM(E10:E11)</f>
        <v>551060000</v>
      </c>
      <c r="F12" s="6">
        <v>531000000</v>
      </c>
      <c r="G12" s="6">
        <f>E12-F12</f>
        <v>20060000</v>
      </c>
    </row>
    <row r="15" spans="1:7" x14ac:dyDescent="0.35">
      <c r="G15">
        <f>(G12/E12)*100</f>
        <v>3.6402569593147751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B21C-A66A-4506-B1D6-1632616F30AB}">
  <dimension ref="A2:E11"/>
  <sheetViews>
    <sheetView workbookViewId="0">
      <selection activeCell="C15" sqref="C15"/>
    </sheetView>
  </sheetViews>
  <sheetFormatPr defaultRowHeight="14.5" x14ac:dyDescent="0.35"/>
  <cols>
    <col min="1" max="1" width="41.7265625" style="9" bestFit="1" customWidth="1"/>
    <col min="2" max="3" width="14.36328125" style="9" bestFit="1" customWidth="1"/>
    <col min="4" max="4" width="14.36328125" style="12" bestFit="1" customWidth="1"/>
    <col min="5" max="5" width="13.36328125" style="9" bestFit="1" customWidth="1"/>
    <col min="6" max="16384" width="8.7265625" style="9"/>
  </cols>
  <sheetData>
    <row r="2" spans="1:5" s="14" customFormat="1" ht="43.5" x14ac:dyDescent="0.35">
      <c r="C2" s="14" t="s">
        <v>21</v>
      </c>
      <c r="D2" s="15" t="s">
        <v>18</v>
      </c>
      <c r="E2" s="14" t="s">
        <v>17</v>
      </c>
    </row>
    <row r="4" spans="1:5" s="13" customFormat="1" x14ac:dyDescent="0.35">
      <c r="A4" s="7" t="s">
        <v>0</v>
      </c>
      <c r="B4" s="7" t="s">
        <v>2</v>
      </c>
      <c r="C4" s="8" t="s">
        <v>20</v>
      </c>
      <c r="D4" s="8" t="s">
        <v>22</v>
      </c>
      <c r="E4" s="7" t="s">
        <v>19</v>
      </c>
    </row>
    <row r="5" spans="1:5" x14ac:dyDescent="0.35">
      <c r="A5" s="10" t="s">
        <v>5</v>
      </c>
      <c r="B5" s="10" t="s">
        <v>12</v>
      </c>
      <c r="C5" s="11">
        <v>1400000</v>
      </c>
      <c r="D5" s="11">
        <v>1010888</v>
      </c>
      <c r="E5" s="11">
        <f t="shared" ref="E5:E11" si="0">C5-D5</f>
        <v>389112</v>
      </c>
    </row>
    <row r="6" spans="1:5" x14ac:dyDescent="0.35">
      <c r="A6" s="10" t="s">
        <v>6</v>
      </c>
      <c r="B6" s="10" t="s">
        <v>12</v>
      </c>
      <c r="C6" s="11">
        <v>600000</v>
      </c>
      <c r="D6" s="11">
        <v>550171</v>
      </c>
      <c r="E6" s="11">
        <f t="shared" si="0"/>
        <v>49829</v>
      </c>
    </row>
    <row r="7" spans="1:5" x14ac:dyDescent="0.35">
      <c r="A7" s="10" t="s">
        <v>13</v>
      </c>
      <c r="B7" s="10" t="s">
        <v>12</v>
      </c>
      <c r="C7" s="11">
        <v>370000</v>
      </c>
      <c r="D7" s="11">
        <v>300000</v>
      </c>
      <c r="E7" s="11">
        <f t="shared" si="0"/>
        <v>70000</v>
      </c>
    </row>
    <row r="8" spans="1:5" x14ac:dyDescent="0.35">
      <c r="A8" s="10" t="s">
        <v>7</v>
      </c>
      <c r="B8" s="10" t="s">
        <v>12</v>
      </c>
      <c r="C8" s="11">
        <v>355000</v>
      </c>
      <c r="D8" s="11">
        <v>300087</v>
      </c>
      <c r="E8" s="11">
        <f t="shared" si="0"/>
        <v>54913</v>
      </c>
    </row>
    <row r="9" spans="1:5" x14ac:dyDescent="0.35">
      <c r="A9" s="10" t="s">
        <v>8</v>
      </c>
      <c r="B9" s="10" t="s">
        <v>12</v>
      </c>
      <c r="C9" s="11">
        <v>2410000</v>
      </c>
      <c r="D9" s="11"/>
      <c r="E9" s="11">
        <f t="shared" si="0"/>
        <v>2410000</v>
      </c>
    </row>
    <row r="10" spans="1:5" x14ac:dyDescent="0.35">
      <c r="A10" s="10" t="s">
        <v>9</v>
      </c>
      <c r="B10" s="10" t="s">
        <v>12</v>
      </c>
      <c r="C10" s="11">
        <v>650000</v>
      </c>
      <c r="D10" s="11">
        <v>964783</v>
      </c>
      <c r="E10" s="11">
        <f t="shared" si="0"/>
        <v>-314783</v>
      </c>
    </row>
    <row r="11" spans="1:5" x14ac:dyDescent="0.35">
      <c r="A11" s="10" t="s">
        <v>10</v>
      </c>
      <c r="B11" s="10" t="s">
        <v>11</v>
      </c>
      <c r="C11" s="11">
        <v>0</v>
      </c>
      <c r="D11" s="11"/>
      <c r="E11" s="11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Arithmetic</vt:lpstr>
      <vt:lpstr>Value for 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2025-12-04T11:56:47Z</dcterms:created>
  <dcterms:modified xsi:type="dcterms:W3CDTF">2025-12-05T14:12:08Z</dcterms:modified>
</cp:coreProperties>
</file>