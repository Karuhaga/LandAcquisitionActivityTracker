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Quarterly Reports\20242025\Q2 202425\"/>
    </mc:Choice>
  </mc:AlternateContent>
  <xr:revisionPtr revIDLastSave="0" documentId="13_ncr:1_{1846D87B-FA71-466B-A113-E488B96CACB6}" xr6:coauthVersionLast="36" xr6:coauthVersionMax="36" xr10:uidLastSave="{00000000-0000-0000-0000-000000000000}"/>
  <bookViews>
    <workbookView xWindow="0" yWindow="0" windowWidth="28800" windowHeight="11325" xr2:uid="{6D6E5748-7E7A-435B-9A3D-71E0E3D49CD2}"/>
  </bookViews>
  <sheets>
    <sheet name="Wkg(1)" sheetId="1" r:id="rId1"/>
    <sheet name="Orig" sheetId="2" r:id="rId2"/>
  </sheets>
  <definedNames>
    <definedName name="_xlnm._FilterDatabase" localSheetId="0" hidden="1">'Wkg(1)'!$B$4:$J$49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24" i="1"/>
  <c r="G28" i="1"/>
  <c r="G20" i="1"/>
  <c r="H51" i="1"/>
  <c r="E51" i="1"/>
  <c r="H17" i="1"/>
  <c r="F51" i="1"/>
  <c r="G51" i="1" l="1"/>
  <c r="F53" i="1"/>
  <c r="H37" i="1"/>
  <c r="H38" i="1"/>
  <c r="H39" i="1"/>
  <c r="H40" i="1"/>
  <c r="H41" i="1"/>
  <c r="H42" i="1"/>
  <c r="H43" i="1"/>
  <c r="H44" i="1"/>
  <c r="H45" i="1"/>
  <c r="H46" i="1"/>
  <c r="H47" i="1"/>
  <c r="H48" i="1"/>
  <c r="H36" i="1"/>
  <c r="H34" i="1"/>
  <c r="G32" i="1"/>
  <c r="G30" i="1"/>
  <c r="G31" i="1"/>
  <c r="G29" i="1"/>
  <c r="H33" i="1"/>
  <c r="H28" i="1"/>
  <c r="G26" i="1"/>
  <c r="G25" i="1"/>
  <c r="H35" i="1" l="1"/>
  <c r="H49" i="1" s="1"/>
  <c r="H24" i="1"/>
  <c r="D20" i="1"/>
  <c r="E20" i="1"/>
  <c r="G30" i="2"/>
  <c r="G28" i="2"/>
  <c r="H23" i="2"/>
  <c r="J20" i="2"/>
  <c r="G20" i="2"/>
  <c r="H18" i="2"/>
  <c r="H17" i="2"/>
  <c r="H20" i="2" s="1"/>
  <c r="G22" i="1"/>
  <c r="G21" i="1"/>
  <c r="H18" i="1"/>
  <c r="I20" i="1"/>
  <c r="I20" i="2" l="1"/>
  <c r="H20" i="1" l="1"/>
</calcChain>
</file>

<file path=xl/sharedStrings.xml><?xml version="1.0" encoding="utf-8"?>
<sst xmlns="http://schemas.openxmlformats.org/spreadsheetml/2006/main" count="162" uniqueCount="82">
  <si>
    <t>Code</t>
  </si>
  <si>
    <t xml:space="preserve"> Particulars </t>
  </si>
  <si>
    <t xml:space="preserve"> Projection  24/25 </t>
  </si>
  <si>
    <t xml:space="preserve"> Savings/ShortHall </t>
  </si>
  <si>
    <t xml:space="preserve"> Re-allocation </t>
  </si>
  <si>
    <t xml:space="preserve"> From </t>
  </si>
  <si>
    <t xml:space="preserve"> To </t>
  </si>
  <si>
    <t xml:space="preserve"> Diff/ Board enter'v </t>
  </si>
  <si>
    <t xml:space="preserve"> Final Budget 2024/2025 </t>
  </si>
  <si>
    <t xml:space="preserve"> Staff Emoluments </t>
  </si>
  <si>
    <t xml:space="preserve"> Consolidated Salary </t>
  </si>
  <si>
    <t xml:space="preserve"> Overtime </t>
  </si>
  <si>
    <t xml:space="preserve"> Weekend Lunch Allowance </t>
  </si>
  <si>
    <t xml:space="preserve"> Acting Allowance </t>
  </si>
  <si>
    <t xml:space="preserve"> Standby Allowance </t>
  </si>
  <si>
    <t xml:space="preserve"> Risk Allowance </t>
  </si>
  <si>
    <t xml:space="preserve"> Casual Labour </t>
  </si>
  <si>
    <t xml:space="preserve"> Shift Allowance </t>
  </si>
  <si>
    <t xml:space="preserve"> Soap Allowance </t>
  </si>
  <si>
    <t xml:space="preserve"> Weekend Transport Allowance </t>
  </si>
  <si>
    <t xml:space="preserve"> Performance Management </t>
  </si>
  <si>
    <t xml:space="preserve"> Mobile Phone Allowance </t>
  </si>
  <si>
    <t xml:space="preserve"> Total Staff Costs </t>
  </si>
  <si>
    <t xml:space="preserve"> Other Allowances </t>
  </si>
  <si>
    <t xml:space="preserve"> Subsistence Allowance </t>
  </si>
  <si>
    <t xml:space="preserve">                                                 -   </t>
  </si>
  <si>
    <t xml:space="preserve"> Staff Hospitalisation </t>
  </si>
  <si>
    <t xml:space="preserve"> Total Other Staff Costs </t>
  </si>
  <si>
    <t xml:space="preserve"> Total Staff and Other Staff Costs </t>
  </si>
  <si>
    <t xml:space="preserve"> Transport Costs </t>
  </si>
  <si>
    <t xml:space="preserve"> Vehicle Repairs </t>
  </si>
  <si>
    <t xml:space="preserve"> Lubricating Oils </t>
  </si>
  <si>
    <t xml:space="preserve"> Vehicle Licence &amp; Inspection </t>
  </si>
  <si>
    <t xml:space="preserve"> Road Toll </t>
  </si>
  <si>
    <t xml:space="preserve"> Hire of Transport </t>
  </si>
  <si>
    <t xml:space="preserve"> Vehicle Washing </t>
  </si>
  <si>
    <t xml:space="preserve"> Fleet Management . I . System </t>
  </si>
  <si>
    <t xml:space="preserve"> Total Transport Costs </t>
  </si>
  <si>
    <t xml:space="preserve"> Grid Repairs and  Maintenance Costs </t>
  </si>
  <si>
    <t xml:space="preserve"> Fuel - Generators </t>
  </si>
  <si>
    <t xml:space="preserve"> Buildings </t>
  </si>
  <si>
    <t xml:space="preserve"> Electrical Materials </t>
  </si>
  <si>
    <t xml:space="preserve">                                                   -   </t>
  </si>
  <si>
    <t xml:space="preserve">                                         -   </t>
  </si>
  <si>
    <t xml:space="preserve">                                                      -   </t>
  </si>
  <si>
    <t xml:space="preserve"> Furniture </t>
  </si>
  <si>
    <t xml:space="preserve"> Wayleaves </t>
  </si>
  <si>
    <t xml:space="preserve"> Misc. Oil </t>
  </si>
  <si>
    <t xml:space="preserve"> Misc. Petrol </t>
  </si>
  <si>
    <t xml:space="preserve"> Total Grid Repairs &amp; Maintenance Costs </t>
  </si>
  <si>
    <t xml:space="preserve"> Administrative Expenses </t>
  </si>
  <si>
    <t xml:space="preserve"> Publicity </t>
  </si>
  <si>
    <t xml:space="preserve"> Stationery </t>
  </si>
  <si>
    <t xml:space="preserve"> Telecommunication Charges </t>
  </si>
  <si>
    <t xml:space="preserve"> Postage </t>
  </si>
  <si>
    <t xml:space="preserve"> Electricity </t>
  </si>
  <si>
    <t xml:space="preserve"> Internet Services </t>
  </si>
  <si>
    <t xml:space="preserve"> Parking Fees </t>
  </si>
  <si>
    <t xml:space="preserve"> Software Licenses, Fees, Maint </t>
  </si>
  <si>
    <t xml:space="preserve"> Refuse Collection </t>
  </si>
  <si>
    <t xml:space="preserve"> Stock Take Expenses </t>
  </si>
  <si>
    <t xml:space="preserve"> Total Administrative Costs </t>
  </si>
  <si>
    <t xml:space="preserve"> Total O &amp; M Costs </t>
  </si>
  <si>
    <t xml:space="preserve"> Other Costs </t>
  </si>
  <si>
    <t xml:space="preserve"> Total Other Costs </t>
  </si>
  <si>
    <t xml:space="preserve">                             -   </t>
  </si>
  <si>
    <t xml:space="preserve"> Grand Total </t>
  </si>
  <si>
    <t xml:space="preserve"> Total Capital &amp; Spares budget </t>
  </si>
  <si>
    <t xml:space="preserve">                                    -   </t>
  </si>
  <si>
    <t xml:space="preserve">                                   -   </t>
  </si>
  <si>
    <t xml:space="preserve"> O &amp; M and Capital </t>
  </si>
  <si>
    <t xml:space="preserve"> Total Reallocation  </t>
  </si>
  <si>
    <t xml:space="preserve"> Subsistence Allowance carried forward</t>
  </si>
  <si>
    <t>Total</t>
  </si>
  <si>
    <t xml:space="preserve"> Vehicle Licence &amp; Inspection caried forward</t>
  </si>
  <si>
    <t>HR</t>
  </si>
  <si>
    <t>Procurement Goods &amp; Non Consultancy</t>
  </si>
  <si>
    <t>FIN Budget Section</t>
  </si>
  <si>
    <t xml:space="preserve">Safety </t>
  </si>
  <si>
    <t>Admin</t>
  </si>
  <si>
    <t>Communication</t>
  </si>
  <si>
    <t>FIN Disbursment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</si>
</sst>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Poppins"/>
    </font>
    <font>
      <b/>
      <sz val="10"/>
      <color rgb="FFFF0000"/>
      <name val="Poppins"/>
    </font>
    <font>
      <b/>
      <sz val="11"/>
      <color rgb="FFFF0000"/>
      <name val="Calibri"/>
      <family val="2"/>
      <scheme val="minor"/>
    </font>
    <font>
      <b/>
      <sz val="10"/>
      <color indexed="8"/>
      <name val="Poppi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/>
    <xf numFmtId="164" fontId="3" fillId="0" borderId="1" xfId="1" applyNumberFormat="1" applyFont="1" applyFill="1" applyBorder="1"/>
    <xf numFmtId="164" fontId="4" fillId="0" borderId="1" xfId="1" applyNumberFormat="1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1" fontId="0" fillId="0" borderId="1" xfId="2" applyFont="1" applyBorder="1" applyAlignment="1">
      <alignment wrapText="1"/>
    </xf>
    <xf numFmtId="41" fontId="0" fillId="0" borderId="1" xfId="2" applyFont="1" applyBorder="1"/>
    <xf numFmtId="41" fontId="0" fillId="0" borderId="0" xfId="2" applyFont="1"/>
    <xf numFmtId="0" fontId="5" fillId="0" borderId="0" xfId="0" applyFont="1"/>
    <xf numFmtId="0" fontId="5" fillId="0" borderId="1" xfId="0" applyFont="1" applyBorder="1"/>
    <xf numFmtId="0" fontId="2" fillId="0" borderId="1" xfId="0" applyFont="1" applyBorder="1" applyAlignment="1">
      <alignment wrapText="1"/>
    </xf>
    <xf numFmtId="41" fontId="2" fillId="0" borderId="1" xfId="2" applyFont="1" applyBorder="1" applyAlignment="1">
      <alignment wrapText="1"/>
    </xf>
    <xf numFmtId="0" fontId="2" fillId="0" borderId="0" xfId="0" applyFont="1" applyAlignment="1">
      <alignment wrapText="1"/>
    </xf>
    <xf numFmtId="164" fontId="3" fillId="0" borderId="0" xfId="1" applyNumberFormat="1" applyFont="1" applyFill="1" applyBorder="1"/>
    <xf numFmtId="41" fontId="0" fillId="0" borderId="0" xfId="2" applyFont="1" applyBorder="1"/>
    <xf numFmtId="0" fontId="0" fillId="0" borderId="0" xfId="0" applyBorder="1"/>
    <xf numFmtId="164" fontId="6" fillId="0" borderId="1" xfId="1" applyNumberFormat="1" applyFont="1" applyFill="1" applyBorder="1"/>
    <xf numFmtId="41" fontId="5" fillId="0" borderId="0" xfId="2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8297-3BF1-4916-AEFC-89F86D539E1D}">
  <sheetPr>
    <pageSetUpPr fitToPage="1"/>
  </sheetPr>
  <dimension ref="B2:O95"/>
  <sheetViews>
    <sheetView tabSelected="1" zoomScale="90" zoomScaleNormal="90" workbookViewId="0">
      <pane ySplit="2" topLeftCell="A3" activePane="bottomLeft" state="frozen"/>
      <selection pane="bottomLeft" activeCell="K17" sqref="K17"/>
    </sheetView>
  </sheetViews>
  <sheetFormatPr defaultColWidth="23.5703125" defaultRowHeight="15" x14ac:dyDescent="0.25"/>
  <cols>
    <col min="1" max="1" width="12" customWidth="1"/>
    <col min="2" max="2" width="16.42578125" hidden="1" customWidth="1"/>
    <col min="4" max="5" width="0" style="8" hidden="1" customWidth="1"/>
    <col min="6" max="6" width="0.140625" style="8" customWidth="1"/>
    <col min="7" max="7" width="20.85546875" style="8" customWidth="1"/>
    <col min="8" max="8" width="23.5703125" style="8"/>
    <col min="9" max="10" width="0" style="8" hidden="1" customWidth="1"/>
  </cols>
  <sheetData>
    <row r="2" spans="2:12" s="13" customFormat="1" ht="31.5" customHeight="1" x14ac:dyDescent="0.25">
      <c r="B2" s="11" t="s">
        <v>0</v>
      </c>
      <c r="C2" s="11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</row>
    <row r="3" spans="2:12" ht="19.5" x14ac:dyDescent="0.55000000000000004">
      <c r="B3" s="3"/>
      <c r="C3" s="3"/>
      <c r="D3" s="7"/>
      <c r="E3" s="1"/>
      <c r="F3" s="7"/>
      <c r="G3" s="7"/>
      <c r="H3" s="7"/>
      <c r="I3" s="7"/>
      <c r="J3" s="7"/>
    </row>
    <row r="4" spans="2:12" x14ac:dyDescent="0.25">
      <c r="B4" s="3"/>
      <c r="C4" s="3" t="s">
        <v>9</v>
      </c>
      <c r="D4" s="7"/>
      <c r="E4" s="7"/>
      <c r="F4" s="7"/>
      <c r="G4" s="7"/>
      <c r="H4" s="7"/>
      <c r="I4" s="7"/>
      <c r="J4" s="7"/>
    </row>
    <row r="5" spans="2:12" ht="19.5" x14ac:dyDescent="0.55000000000000004">
      <c r="B5" s="3">
        <v>400001</v>
      </c>
      <c r="C5" s="3" t="s">
        <v>10</v>
      </c>
      <c r="D5" s="1">
        <v>25736581049</v>
      </c>
      <c r="E5" s="1">
        <v>224247838</v>
      </c>
      <c r="F5" s="1">
        <v>-224247838</v>
      </c>
      <c r="G5" s="1">
        <v>-224247838</v>
      </c>
      <c r="H5" s="1"/>
      <c r="I5" s="1"/>
      <c r="J5" s="1">
        <v>25736581049</v>
      </c>
      <c r="K5" s="1"/>
      <c r="L5" s="1"/>
    </row>
    <row r="6" spans="2:12" ht="19.5" x14ac:dyDescent="0.55000000000000004">
      <c r="B6" s="3">
        <v>400002</v>
      </c>
      <c r="C6" s="3" t="s">
        <v>11</v>
      </c>
      <c r="D6" s="1">
        <v>1361427756</v>
      </c>
      <c r="E6" s="1">
        <v>142923623</v>
      </c>
      <c r="F6" s="1">
        <v>-142923623</v>
      </c>
      <c r="G6" s="1">
        <v>-142923623</v>
      </c>
      <c r="H6" s="1"/>
      <c r="I6" s="1"/>
      <c r="J6" s="1">
        <v>1361427756</v>
      </c>
      <c r="K6" s="1"/>
      <c r="L6" s="1"/>
    </row>
    <row r="7" spans="2:12" ht="19.5" x14ac:dyDescent="0.55000000000000004">
      <c r="B7" s="3">
        <v>400003</v>
      </c>
      <c r="C7" s="3" t="s">
        <v>12</v>
      </c>
      <c r="D7" s="1">
        <v>18453600</v>
      </c>
      <c r="E7" s="1">
        <v>31269245</v>
      </c>
      <c r="F7" s="1">
        <v>-31269245</v>
      </c>
      <c r="G7" s="1">
        <v>-31269245</v>
      </c>
      <c r="H7" s="1"/>
      <c r="I7" s="1"/>
      <c r="J7" s="1">
        <v>18453600</v>
      </c>
      <c r="K7" s="1"/>
      <c r="L7" s="1"/>
    </row>
    <row r="8" spans="2:12" ht="19.5" x14ac:dyDescent="0.55000000000000004">
      <c r="B8" s="3">
        <v>400005</v>
      </c>
      <c r="C8" s="3" t="s">
        <v>13</v>
      </c>
      <c r="D8" s="1">
        <v>428929958</v>
      </c>
      <c r="E8" s="1">
        <v>-31323983</v>
      </c>
      <c r="F8" s="1">
        <v>31323983</v>
      </c>
      <c r="G8" s="1"/>
      <c r="H8" s="1">
        <v>31323983</v>
      </c>
      <c r="I8" s="1"/>
      <c r="J8" s="1">
        <v>428929958</v>
      </c>
      <c r="K8" s="1" t="s">
        <v>75</v>
      </c>
      <c r="L8" s="1"/>
    </row>
    <row r="9" spans="2:12" ht="19.5" x14ac:dyDescent="0.55000000000000004">
      <c r="B9" s="3">
        <v>400007</v>
      </c>
      <c r="C9" s="3" t="s">
        <v>14</v>
      </c>
      <c r="D9" s="1">
        <v>1703568828</v>
      </c>
      <c r="E9" s="1">
        <v>-70278540</v>
      </c>
      <c r="F9" s="1">
        <v>70278540</v>
      </c>
      <c r="G9" s="1"/>
      <c r="H9" s="1">
        <v>70278540</v>
      </c>
      <c r="I9" s="1"/>
      <c r="J9" s="1">
        <v>1703568828</v>
      </c>
      <c r="K9" s="1" t="s">
        <v>75</v>
      </c>
      <c r="L9" s="1"/>
    </row>
    <row r="10" spans="2:12" ht="19.5" x14ac:dyDescent="0.55000000000000004">
      <c r="B10" s="3">
        <v>400012</v>
      </c>
      <c r="C10" s="3" t="s">
        <v>15</v>
      </c>
      <c r="D10" s="1">
        <v>201675714</v>
      </c>
      <c r="E10" s="1">
        <v>-64200568</v>
      </c>
      <c r="F10" s="1">
        <v>64200568</v>
      </c>
      <c r="G10" s="1"/>
      <c r="H10" s="1">
        <v>64200568</v>
      </c>
      <c r="I10" s="1"/>
      <c r="J10" s="1">
        <v>201675714</v>
      </c>
      <c r="K10" s="1" t="s">
        <v>75</v>
      </c>
      <c r="L10" s="1"/>
    </row>
    <row r="11" spans="2:12" ht="19.5" x14ac:dyDescent="0.55000000000000004">
      <c r="B11" s="3">
        <v>400018</v>
      </c>
      <c r="C11" s="3" t="s">
        <v>16</v>
      </c>
      <c r="D11" s="1">
        <v>505876760</v>
      </c>
      <c r="E11" s="1">
        <v>-155009240</v>
      </c>
      <c r="F11" s="1">
        <v>155009240</v>
      </c>
      <c r="G11" s="1"/>
      <c r="H11" s="1">
        <v>155009240</v>
      </c>
      <c r="I11" s="1"/>
      <c r="J11" s="1">
        <v>505876760</v>
      </c>
      <c r="K11" s="1" t="s">
        <v>75</v>
      </c>
      <c r="L11" s="1"/>
    </row>
    <row r="12" spans="2:12" ht="19.5" x14ac:dyDescent="0.55000000000000004">
      <c r="B12" s="3">
        <v>400019</v>
      </c>
      <c r="C12" s="3" t="s">
        <v>17</v>
      </c>
      <c r="D12" s="1">
        <v>321072928</v>
      </c>
      <c r="E12" s="1">
        <v>-52293617</v>
      </c>
      <c r="F12" s="1">
        <v>52293617</v>
      </c>
      <c r="G12" s="1"/>
      <c r="H12" s="1">
        <v>52293617</v>
      </c>
      <c r="I12" s="1"/>
      <c r="J12" s="1">
        <v>321072928</v>
      </c>
      <c r="K12" s="1" t="s">
        <v>75</v>
      </c>
      <c r="L12" s="1"/>
    </row>
    <row r="13" spans="2:12" ht="19.5" x14ac:dyDescent="0.55000000000000004">
      <c r="B13" s="3">
        <v>400021</v>
      </c>
      <c r="C13" s="3" t="s">
        <v>18</v>
      </c>
      <c r="D13" s="1">
        <v>66256522</v>
      </c>
      <c r="E13" s="1">
        <v>-56427200</v>
      </c>
      <c r="F13" s="1">
        <v>56427200</v>
      </c>
      <c r="G13" s="1"/>
      <c r="H13" s="1">
        <v>56427200</v>
      </c>
      <c r="I13" s="1"/>
      <c r="J13" s="1">
        <v>66256522</v>
      </c>
      <c r="K13" s="1" t="s">
        <v>75</v>
      </c>
      <c r="L13" s="1"/>
    </row>
    <row r="14" spans="2:12" ht="19.5" x14ac:dyDescent="0.55000000000000004">
      <c r="B14" s="3">
        <v>400022</v>
      </c>
      <c r="C14" s="3" t="s">
        <v>19</v>
      </c>
      <c r="D14" s="1">
        <v>16019000</v>
      </c>
      <c r="E14" s="1">
        <v>36708881</v>
      </c>
      <c r="F14" s="1">
        <v>-36708881</v>
      </c>
      <c r="G14" s="1">
        <v>-36708881</v>
      </c>
      <c r="H14" s="1"/>
      <c r="I14" s="1"/>
      <c r="J14" s="1">
        <v>16019000</v>
      </c>
      <c r="K14" s="1"/>
      <c r="L14" s="1"/>
    </row>
    <row r="15" spans="2:12" ht="19.5" x14ac:dyDescent="0.55000000000000004">
      <c r="B15" s="3">
        <v>400024</v>
      </c>
      <c r="C15" s="3" t="s">
        <v>20</v>
      </c>
      <c r="D15" s="1">
        <v>516497753</v>
      </c>
      <c r="E15" s="1">
        <v>267002380</v>
      </c>
      <c r="F15" s="1">
        <v>-267002380</v>
      </c>
      <c r="G15" s="1">
        <v>-267002380</v>
      </c>
      <c r="H15" s="1"/>
      <c r="I15" s="1"/>
      <c r="J15" s="1">
        <v>516497753</v>
      </c>
      <c r="K15" s="1"/>
      <c r="L15" s="1"/>
    </row>
    <row r="16" spans="2:12" ht="19.5" x14ac:dyDescent="0.55000000000000004">
      <c r="B16" s="3">
        <v>400025</v>
      </c>
      <c r="C16" s="3" t="s">
        <v>21</v>
      </c>
      <c r="D16" s="1">
        <v>158815266</v>
      </c>
      <c r="E16" s="1">
        <v>11416280</v>
      </c>
      <c r="F16" s="1">
        <v>-11416280</v>
      </c>
      <c r="G16" s="1">
        <v>-11416280</v>
      </c>
      <c r="H16" s="1"/>
      <c r="I16" s="1"/>
      <c r="J16" s="1">
        <v>158815266</v>
      </c>
      <c r="K16" s="1"/>
      <c r="L16" s="1"/>
    </row>
    <row r="17" spans="2:15" ht="19.5" x14ac:dyDescent="0.55000000000000004">
      <c r="B17" s="3">
        <v>400014</v>
      </c>
      <c r="C17" s="3" t="s">
        <v>23</v>
      </c>
      <c r="D17" s="1">
        <v>127180000</v>
      </c>
      <c r="E17" s="1">
        <v>-62580004</v>
      </c>
      <c r="F17" s="1">
        <v>62580004</v>
      </c>
      <c r="G17" s="1"/>
      <c r="H17" s="1">
        <f>+F17</f>
        <v>62580004</v>
      </c>
      <c r="I17" s="1"/>
      <c r="J17" s="1">
        <v>127180000</v>
      </c>
      <c r="K17" s="1" t="s">
        <v>76</v>
      </c>
      <c r="L17" s="1"/>
    </row>
    <row r="18" spans="2:15" ht="19.5" x14ac:dyDescent="0.55000000000000004">
      <c r="B18" s="3">
        <v>410016</v>
      </c>
      <c r="C18" s="3" t="s">
        <v>26</v>
      </c>
      <c r="D18" s="1">
        <v>67520</v>
      </c>
      <c r="E18" s="1">
        <v>-67520</v>
      </c>
      <c r="F18" s="1">
        <v>67520</v>
      </c>
      <c r="G18" s="1"/>
      <c r="H18" s="1">
        <f>+F18</f>
        <v>67520</v>
      </c>
      <c r="I18" s="1"/>
      <c r="J18" s="1">
        <v>67520</v>
      </c>
      <c r="K18" s="1" t="s">
        <v>75</v>
      </c>
      <c r="L18" s="1"/>
    </row>
    <row r="19" spans="2:15" ht="19.5" x14ac:dyDescent="0.55000000000000004">
      <c r="B19" s="3">
        <v>400006</v>
      </c>
      <c r="C19" s="3" t="s">
        <v>24</v>
      </c>
      <c r="D19" s="1">
        <v>1164079958</v>
      </c>
      <c r="E19" s="1">
        <v>-419964094</v>
      </c>
      <c r="F19" s="1">
        <v>419964094</v>
      </c>
      <c r="G19" s="1"/>
      <c r="H19" s="1">
        <v>221387575</v>
      </c>
      <c r="I19" s="1" t="s">
        <v>25</v>
      </c>
      <c r="J19" s="1">
        <v>1164079958</v>
      </c>
      <c r="K19" s="1" t="s">
        <v>77</v>
      </c>
      <c r="L19" s="1"/>
    </row>
    <row r="20" spans="2:15" s="9" customFormat="1" ht="19.5" x14ac:dyDescent="0.55000000000000004">
      <c r="B20" s="10"/>
      <c r="C20" s="10" t="s">
        <v>22</v>
      </c>
      <c r="D20" s="2">
        <f t="shared" ref="D20:E20" si="0">SUM(D5:D19)</f>
        <v>32326502612</v>
      </c>
      <c r="E20" s="2">
        <f t="shared" si="0"/>
        <v>-198576519</v>
      </c>
      <c r="F20" s="2"/>
      <c r="G20" s="2">
        <f>SUM(G5:G19)</f>
        <v>-713568247</v>
      </c>
      <c r="H20" s="2">
        <f>SUM(H5:H19)</f>
        <v>713568247</v>
      </c>
      <c r="I20" s="2">
        <f t="shared" ref="I20" si="1">SUM(I5:I16)</f>
        <v>0</v>
      </c>
      <c r="J20" s="2">
        <v>46831879204</v>
      </c>
      <c r="K20" s="2"/>
      <c r="L20" s="2"/>
    </row>
    <row r="21" spans="2:15" ht="19.5" x14ac:dyDescent="0.55000000000000004">
      <c r="B21" s="3">
        <v>430003</v>
      </c>
      <c r="C21" s="3" t="s">
        <v>31</v>
      </c>
      <c r="D21" s="1">
        <v>679200</v>
      </c>
      <c r="E21" s="1">
        <v>2320800</v>
      </c>
      <c r="F21" s="1">
        <v>-2320800</v>
      </c>
      <c r="G21" s="1">
        <f>+F21</f>
        <v>-2320800</v>
      </c>
      <c r="H21" s="1"/>
      <c r="I21" s="1"/>
      <c r="J21" s="1">
        <v>679200</v>
      </c>
      <c r="K21" s="1"/>
      <c r="L21" s="1"/>
    </row>
    <row r="22" spans="2:15" ht="19.5" x14ac:dyDescent="0.55000000000000004">
      <c r="B22" s="3"/>
      <c r="C22" s="3" t="s">
        <v>33</v>
      </c>
      <c r="D22" s="1">
        <v>2020000</v>
      </c>
      <c r="E22" s="1">
        <v>418273</v>
      </c>
      <c r="F22" s="1">
        <v>-418273</v>
      </c>
      <c r="G22" s="1">
        <f>+F22</f>
        <v>-418273</v>
      </c>
      <c r="H22" s="1"/>
      <c r="I22" s="1"/>
      <c r="J22" s="1">
        <v>2020000</v>
      </c>
      <c r="K22" s="1"/>
      <c r="L22" s="1"/>
    </row>
    <row r="23" spans="2:15" ht="19.5" x14ac:dyDescent="0.55000000000000004">
      <c r="B23" s="3">
        <v>430005</v>
      </c>
      <c r="C23" s="3" t="s">
        <v>32</v>
      </c>
      <c r="D23" s="1">
        <v>26713694</v>
      </c>
      <c r="E23" s="1">
        <v>-3743264</v>
      </c>
      <c r="F23" s="1">
        <v>3743264</v>
      </c>
      <c r="G23" s="1"/>
      <c r="H23" s="1">
        <v>2739073</v>
      </c>
      <c r="I23" s="1"/>
      <c r="J23" s="1">
        <v>26713694</v>
      </c>
      <c r="K23" s="1" t="s">
        <v>78</v>
      </c>
      <c r="L23" s="1"/>
    </row>
    <row r="24" spans="2:15" s="9" customFormat="1" ht="19.5" x14ac:dyDescent="0.55000000000000004">
      <c r="B24" s="10"/>
      <c r="C24" s="10" t="s">
        <v>73</v>
      </c>
      <c r="D24" s="2"/>
      <c r="E24" s="2"/>
      <c r="F24" s="2"/>
      <c r="G24" s="2">
        <f>SUM(G21:G23)</f>
        <v>-2739073</v>
      </c>
      <c r="H24" s="2">
        <f>SUM(H21:H23)</f>
        <v>2739073</v>
      </c>
      <c r="I24" s="2"/>
      <c r="J24" s="2"/>
      <c r="K24" s="2"/>
      <c r="L24" s="2"/>
      <c r="O24" s="18"/>
    </row>
    <row r="25" spans="2:15" ht="19.5" x14ac:dyDescent="0.55000000000000004">
      <c r="B25" s="3">
        <v>440015</v>
      </c>
      <c r="C25" s="3" t="s">
        <v>46</v>
      </c>
      <c r="D25" s="1">
        <v>162364020</v>
      </c>
      <c r="E25" s="1">
        <v>161635980</v>
      </c>
      <c r="F25" s="1">
        <v>-161635980</v>
      </c>
      <c r="G25" s="1">
        <f>+F25</f>
        <v>-161635980</v>
      </c>
      <c r="H25" s="1"/>
      <c r="I25" s="1"/>
      <c r="J25" s="1">
        <v>162364020</v>
      </c>
      <c r="K25" s="1"/>
      <c r="L25" s="1"/>
    </row>
    <row r="26" spans="2:15" ht="19.5" x14ac:dyDescent="0.55000000000000004">
      <c r="B26" s="3">
        <v>440021</v>
      </c>
      <c r="C26" s="3" t="s">
        <v>47</v>
      </c>
      <c r="D26" s="1">
        <v>2775100</v>
      </c>
      <c r="E26" s="1">
        <v>352196</v>
      </c>
      <c r="F26" s="1">
        <v>-352196</v>
      </c>
      <c r="G26" s="1">
        <f>+F26</f>
        <v>-352196</v>
      </c>
      <c r="H26" s="1"/>
      <c r="I26" s="1"/>
      <c r="J26" s="1">
        <v>2775100</v>
      </c>
      <c r="K26" s="1"/>
      <c r="L26" s="1"/>
    </row>
    <row r="27" spans="2:15" ht="34.5" x14ac:dyDescent="0.55000000000000004">
      <c r="B27" s="3">
        <v>400006</v>
      </c>
      <c r="C27" s="4" t="s">
        <v>72</v>
      </c>
      <c r="D27" s="1">
        <v>1164079958</v>
      </c>
      <c r="E27" s="1">
        <v>-419964094</v>
      </c>
      <c r="F27" s="1">
        <v>419964094</v>
      </c>
      <c r="G27" s="1"/>
      <c r="H27" s="1">
        <v>161988176</v>
      </c>
      <c r="I27" s="1"/>
      <c r="J27" s="1"/>
      <c r="K27" s="1" t="s">
        <v>77</v>
      </c>
      <c r="L27" s="1"/>
    </row>
    <row r="28" spans="2:15" s="9" customFormat="1" ht="19.5" x14ac:dyDescent="0.55000000000000004">
      <c r="B28" s="10"/>
      <c r="C28" s="10" t="s">
        <v>73</v>
      </c>
      <c r="D28" s="2"/>
      <c r="E28" s="2"/>
      <c r="F28" s="2"/>
      <c r="G28" s="2">
        <f>SUM(G25:G27)</f>
        <v>-161988176</v>
      </c>
      <c r="H28" s="2">
        <f>SUM(H25:H27)</f>
        <v>161988176</v>
      </c>
      <c r="I28" s="2"/>
      <c r="J28" s="2"/>
      <c r="K28" s="2"/>
      <c r="L28" s="2"/>
    </row>
    <row r="29" spans="2:15" ht="19.5" x14ac:dyDescent="0.55000000000000004">
      <c r="B29" s="3">
        <v>450020</v>
      </c>
      <c r="C29" s="3" t="s">
        <v>53</v>
      </c>
      <c r="D29" s="1">
        <v>65796654</v>
      </c>
      <c r="E29" s="1">
        <v>127955166</v>
      </c>
      <c r="F29" s="1">
        <v>-127955166</v>
      </c>
      <c r="G29" s="1">
        <f>+F29</f>
        <v>-127955166</v>
      </c>
      <c r="H29" s="1"/>
      <c r="I29" s="1"/>
      <c r="J29" s="1">
        <v>65796654</v>
      </c>
      <c r="K29" s="1"/>
      <c r="L29" s="1"/>
    </row>
    <row r="30" spans="2:15" ht="19.5" x14ac:dyDescent="0.55000000000000004">
      <c r="B30" s="3">
        <v>450021</v>
      </c>
      <c r="C30" s="3" t="s">
        <v>54</v>
      </c>
      <c r="D30" s="1">
        <v>16328916</v>
      </c>
      <c r="E30" s="1">
        <v>8171084</v>
      </c>
      <c r="F30" s="1">
        <v>-8171084</v>
      </c>
      <c r="G30" s="1">
        <f>+F30</f>
        <v>-8171084</v>
      </c>
      <c r="H30" s="1"/>
      <c r="I30" s="1"/>
      <c r="J30" s="1">
        <v>16328916</v>
      </c>
      <c r="K30" s="1"/>
      <c r="L30" s="1"/>
    </row>
    <row r="31" spans="2:15" ht="19.5" x14ac:dyDescent="0.55000000000000004">
      <c r="B31" s="3">
        <v>450025</v>
      </c>
      <c r="C31" s="3" t="s">
        <v>55</v>
      </c>
      <c r="D31" s="1">
        <v>990017210</v>
      </c>
      <c r="E31" s="1">
        <v>55182790</v>
      </c>
      <c r="F31" s="1">
        <v>-55182790</v>
      </c>
      <c r="G31" s="1">
        <f>F31</f>
        <v>-55182790</v>
      </c>
      <c r="H31" s="1"/>
      <c r="I31" s="1"/>
      <c r="J31" s="1">
        <v>990017210</v>
      </c>
      <c r="K31" s="1"/>
      <c r="L31" s="1"/>
    </row>
    <row r="32" spans="2:15" ht="19.5" x14ac:dyDescent="0.55000000000000004">
      <c r="B32" s="3">
        <v>450032</v>
      </c>
      <c r="C32" s="3" t="s">
        <v>58</v>
      </c>
      <c r="D32" s="1">
        <v>1969469833</v>
      </c>
      <c r="E32" s="1">
        <v>555726307</v>
      </c>
      <c r="F32" s="1">
        <v>-555726307</v>
      </c>
      <c r="G32" s="1">
        <f>+F32</f>
        <v>-555726307</v>
      </c>
      <c r="H32" s="1"/>
      <c r="I32" s="1"/>
      <c r="J32" s="1">
        <v>1969469833</v>
      </c>
      <c r="K32" s="1"/>
      <c r="L32" s="1"/>
    </row>
    <row r="33" spans="2:12" ht="43.5" customHeight="1" x14ac:dyDescent="0.55000000000000004">
      <c r="B33" s="3">
        <v>400006</v>
      </c>
      <c r="C33" s="4" t="s">
        <v>72</v>
      </c>
      <c r="D33" s="1">
        <v>1164079958</v>
      </c>
      <c r="E33" s="1">
        <v>-419964094</v>
      </c>
      <c r="F33" s="1">
        <v>419964094</v>
      </c>
      <c r="G33" s="1"/>
      <c r="H33" s="1">
        <f>+F33-H19-H27</f>
        <v>36588343</v>
      </c>
      <c r="I33" s="1" t="s">
        <v>25</v>
      </c>
      <c r="J33" s="1">
        <v>1164079958</v>
      </c>
      <c r="K33" s="1" t="s">
        <v>77</v>
      </c>
      <c r="L33" s="1"/>
    </row>
    <row r="34" spans="2:12" ht="19.5" x14ac:dyDescent="0.55000000000000004">
      <c r="B34" s="3">
        <v>420001</v>
      </c>
      <c r="C34" s="3" t="s">
        <v>30</v>
      </c>
      <c r="D34" s="1">
        <v>1673000000</v>
      </c>
      <c r="E34" s="1">
        <v>-598925100</v>
      </c>
      <c r="F34" s="1">
        <v>201737289</v>
      </c>
      <c r="G34" s="1"/>
      <c r="H34" s="1">
        <f>+F34</f>
        <v>201737289</v>
      </c>
      <c r="I34" s="1">
        <v>397187811</v>
      </c>
      <c r="J34" s="1">
        <v>1673000000</v>
      </c>
      <c r="K34" s="1" t="s">
        <v>78</v>
      </c>
      <c r="L34" s="1"/>
    </row>
    <row r="35" spans="2:12" ht="36" customHeight="1" x14ac:dyDescent="0.55000000000000004">
      <c r="B35" s="3">
        <v>430005</v>
      </c>
      <c r="C35" s="3" t="s">
        <v>74</v>
      </c>
      <c r="D35" s="1">
        <v>26713694</v>
      </c>
      <c r="E35" s="1">
        <v>-3743264</v>
      </c>
      <c r="F35" s="1">
        <v>3743264</v>
      </c>
      <c r="G35" s="1"/>
      <c r="H35" s="1">
        <f>+F35-H23</f>
        <v>1004191</v>
      </c>
      <c r="I35" s="1"/>
      <c r="J35" s="1">
        <v>26713694</v>
      </c>
      <c r="K35" s="1" t="s">
        <v>78</v>
      </c>
      <c r="L35" s="1"/>
    </row>
    <row r="36" spans="2:12" ht="19.5" x14ac:dyDescent="0.55000000000000004">
      <c r="B36" s="3">
        <v>430007</v>
      </c>
      <c r="C36" s="3" t="s">
        <v>34</v>
      </c>
      <c r="D36" s="1">
        <v>146190516</v>
      </c>
      <c r="E36" s="1">
        <v>-47970516</v>
      </c>
      <c r="F36" s="1">
        <v>47970516</v>
      </c>
      <c r="G36" s="1"/>
      <c r="H36" s="1">
        <f>+F36</f>
        <v>47970516</v>
      </c>
      <c r="I36" s="1"/>
      <c r="J36" s="1">
        <v>146190516</v>
      </c>
      <c r="K36" s="1" t="s">
        <v>78</v>
      </c>
      <c r="L36" s="1"/>
    </row>
    <row r="37" spans="2:12" ht="19.5" x14ac:dyDescent="0.55000000000000004">
      <c r="B37" s="3">
        <v>430009</v>
      </c>
      <c r="C37" s="3" t="s">
        <v>35</v>
      </c>
      <c r="D37" s="1">
        <v>5390000</v>
      </c>
      <c r="E37" s="1">
        <v>-10000</v>
      </c>
      <c r="F37" s="1">
        <v>10000</v>
      </c>
      <c r="G37" s="1"/>
      <c r="H37" s="1">
        <f t="shared" ref="H37:H48" si="2">+F37</f>
        <v>10000</v>
      </c>
      <c r="I37" s="1"/>
      <c r="J37" s="1">
        <v>5390000</v>
      </c>
      <c r="K37" s="1" t="s">
        <v>78</v>
      </c>
      <c r="L37" s="1"/>
    </row>
    <row r="38" spans="2:12" ht="19.5" x14ac:dyDescent="0.55000000000000004">
      <c r="B38" s="3">
        <v>430010</v>
      </c>
      <c r="C38" s="3" t="s">
        <v>36</v>
      </c>
      <c r="D38" s="1">
        <v>109235818</v>
      </c>
      <c r="E38" s="1">
        <v>-7532218</v>
      </c>
      <c r="F38" s="1">
        <v>7532218</v>
      </c>
      <c r="G38" s="1"/>
      <c r="H38" s="1">
        <f t="shared" si="2"/>
        <v>7532218</v>
      </c>
      <c r="I38" s="1"/>
      <c r="J38" s="1">
        <v>109235818</v>
      </c>
      <c r="K38" s="1" t="s">
        <v>78</v>
      </c>
      <c r="L38" s="1"/>
    </row>
    <row r="39" spans="2:12" ht="19.5" x14ac:dyDescent="0.55000000000000004">
      <c r="B39" s="3">
        <v>440002</v>
      </c>
      <c r="C39" s="3" t="s">
        <v>39</v>
      </c>
      <c r="D39" s="1">
        <v>3160000</v>
      </c>
      <c r="E39" s="1">
        <v>-3160000</v>
      </c>
      <c r="F39" s="1">
        <v>3160000</v>
      </c>
      <c r="G39" s="1"/>
      <c r="H39" s="1">
        <f t="shared" si="2"/>
        <v>3160000</v>
      </c>
      <c r="I39" s="1"/>
      <c r="J39" s="1">
        <v>3160000</v>
      </c>
      <c r="K39" s="1" t="s">
        <v>78</v>
      </c>
      <c r="L39" s="1"/>
    </row>
    <row r="40" spans="2:12" ht="19.5" x14ac:dyDescent="0.55000000000000004">
      <c r="B40" s="3">
        <v>440007</v>
      </c>
      <c r="C40" s="3" t="s">
        <v>40</v>
      </c>
      <c r="D40" s="1">
        <v>681579943</v>
      </c>
      <c r="E40" s="1">
        <v>-161069943</v>
      </c>
      <c r="F40" s="1">
        <v>63600000</v>
      </c>
      <c r="G40" s="1"/>
      <c r="H40" s="1">
        <f t="shared" si="2"/>
        <v>63600000</v>
      </c>
      <c r="I40" s="1">
        <v>97469943</v>
      </c>
      <c r="J40" s="1">
        <v>681579943</v>
      </c>
      <c r="K40" s="1" t="s">
        <v>79</v>
      </c>
      <c r="L40" s="1"/>
    </row>
    <row r="41" spans="2:12" ht="19.5" x14ac:dyDescent="0.55000000000000004">
      <c r="B41" s="3">
        <v>440009</v>
      </c>
      <c r="C41" s="3" t="s">
        <v>45</v>
      </c>
      <c r="D41" s="1">
        <v>35424000</v>
      </c>
      <c r="E41" s="1">
        <v>-15424000</v>
      </c>
      <c r="F41" s="1">
        <v>15424000</v>
      </c>
      <c r="G41" s="1"/>
      <c r="H41" s="1">
        <f t="shared" si="2"/>
        <v>15424000</v>
      </c>
      <c r="I41" s="1" t="s">
        <v>25</v>
      </c>
      <c r="J41" s="1">
        <v>35424000</v>
      </c>
      <c r="K41" s="1" t="s">
        <v>79</v>
      </c>
      <c r="L41" s="1"/>
    </row>
    <row r="42" spans="2:12" ht="19.5" x14ac:dyDescent="0.55000000000000004">
      <c r="B42" s="3">
        <v>440022</v>
      </c>
      <c r="C42" s="3" t="s">
        <v>48</v>
      </c>
      <c r="D42" s="1">
        <v>518200</v>
      </c>
      <c r="E42" s="1">
        <v>-518200</v>
      </c>
      <c r="F42" s="1">
        <v>518200</v>
      </c>
      <c r="G42" s="1"/>
      <c r="H42" s="1">
        <f t="shared" si="2"/>
        <v>518200</v>
      </c>
      <c r="I42" s="1"/>
      <c r="J42" s="1">
        <v>518200</v>
      </c>
      <c r="K42" s="1" t="s">
        <v>79</v>
      </c>
      <c r="L42" s="1"/>
    </row>
    <row r="43" spans="2:12" ht="19.5" x14ac:dyDescent="0.55000000000000004">
      <c r="B43" s="3">
        <v>450010</v>
      </c>
      <c r="C43" s="3" t="s">
        <v>51</v>
      </c>
      <c r="D43" s="1">
        <v>889075000</v>
      </c>
      <c r="E43" s="1">
        <v>-360252000</v>
      </c>
      <c r="F43" s="1">
        <v>9342000</v>
      </c>
      <c r="G43" s="1"/>
      <c r="H43" s="1">
        <f t="shared" si="2"/>
        <v>9342000</v>
      </c>
      <c r="I43" s="1">
        <v>350910000</v>
      </c>
      <c r="J43" s="1">
        <v>889075000</v>
      </c>
      <c r="K43" s="1" t="s">
        <v>79</v>
      </c>
      <c r="L43" s="1"/>
    </row>
    <row r="44" spans="2:12" ht="19.5" x14ac:dyDescent="0.55000000000000004">
      <c r="B44" s="3">
        <v>450014</v>
      </c>
      <c r="C44" s="3" t="s">
        <v>52</v>
      </c>
      <c r="D44" s="1">
        <v>252200596</v>
      </c>
      <c r="E44" s="1">
        <v>-92890716</v>
      </c>
      <c r="F44" s="1">
        <v>92890716</v>
      </c>
      <c r="G44" s="1"/>
      <c r="H44" s="1">
        <f t="shared" si="2"/>
        <v>92890716</v>
      </c>
      <c r="I44" s="1"/>
      <c r="J44" s="1">
        <v>252200596</v>
      </c>
      <c r="K44" s="1" t="s">
        <v>79</v>
      </c>
      <c r="L44" s="1"/>
    </row>
    <row r="45" spans="2:12" ht="19.5" x14ac:dyDescent="0.55000000000000004">
      <c r="B45" s="3">
        <v>450027</v>
      </c>
      <c r="C45" s="3" t="s">
        <v>56</v>
      </c>
      <c r="D45" s="1">
        <v>626000000</v>
      </c>
      <c r="E45" s="1">
        <v>-168000000</v>
      </c>
      <c r="F45" s="1">
        <v>168000000</v>
      </c>
      <c r="G45" s="1"/>
      <c r="H45" s="1">
        <f t="shared" si="2"/>
        <v>168000000</v>
      </c>
      <c r="I45" s="1"/>
      <c r="J45" s="1">
        <v>626000000</v>
      </c>
      <c r="K45" s="1" t="s">
        <v>80</v>
      </c>
      <c r="L45" s="1"/>
    </row>
    <row r="46" spans="2:12" ht="19.5" x14ac:dyDescent="0.55000000000000004">
      <c r="B46" s="3">
        <v>450028</v>
      </c>
      <c r="C46" s="3" t="s">
        <v>57</v>
      </c>
      <c r="D46" s="1">
        <v>71002000</v>
      </c>
      <c r="E46" s="1">
        <v>-11402000</v>
      </c>
      <c r="F46" s="1">
        <v>11402000</v>
      </c>
      <c r="G46" s="1"/>
      <c r="H46" s="1">
        <f t="shared" si="2"/>
        <v>11402000</v>
      </c>
      <c r="I46" s="1"/>
      <c r="J46" s="1">
        <v>71002000</v>
      </c>
      <c r="K46" s="1" t="s">
        <v>79</v>
      </c>
      <c r="L46" s="1"/>
    </row>
    <row r="47" spans="2:12" ht="19.5" x14ac:dyDescent="0.55000000000000004">
      <c r="B47" s="3">
        <v>450037</v>
      </c>
      <c r="C47" s="3" t="s">
        <v>59</v>
      </c>
      <c r="D47" s="1">
        <v>36850000</v>
      </c>
      <c r="E47" s="1">
        <v>-22850000</v>
      </c>
      <c r="F47" s="1">
        <v>22850000</v>
      </c>
      <c r="G47" s="1"/>
      <c r="H47" s="1">
        <f t="shared" si="2"/>
        <v>22850000</v>
      </c>
      <c r="I47" s="1"/>
      <c r="J47" s="1">
        <v>36850000</v>
      </c>
      <c r="K47" s="1" t="s">
        <v>79</v>
      </c>
      <c r="L47" s="1"/>
    </row>
    <row r="48" spans="2:12" ht="19.5" x14ac:dyDescent="0.55000000000000004">
      <c r="B48" s="3">
        <v>450042</v>
      </c>
      <c r="C48" s="3" t="s">
        <v>60</v>
      </c>
      <c r="D48" s="1">
        <v>183085875</v>
      </c>
      <c r="E48" s="1">
        <v>-65005875</v>
      </c>
      <c r="F48" s="1">
        <v>65005875</v>
      </c>
      <c r="G48" s="1"/>
      <c r="H48" s="1">
        <f t="shared" si="2"/>
        <v>65005875</v>
      </c>
      <c r="I48" s="1"/>
      <c r="J48" s="1">
        <v>183085875</v>
      </c>
      <c r="K48" s="1" t="s">
        <v>81</v>
      </c>
      <c r="L48" s="1"/>
    </row>
    <row r="49" spans="2:12" s="9" customFormat="1" ht="19.5" x14ac:dyDescent="0.55000000000000004">
      <c r="B49" s="10"/>
      <c r="C49" s="10" t="s">
        <v>73</v>
      </c>
      <c r="D49" s="2"/>
      <c r="E49" s="2"/>
      <c r="F49" s="2"/>
      <c r="G49" s="2">
        <f>SUM(G29:G48)</f>
        <v>-747035347</v>
      </c>
      <c r="H49" s="2">
        <f>SUM(H29:H48)</f>
        <v>747035348</v>
      </c>
      <c r="I49" s="2">
        <v>1474502946</v>
      </c>
      <c r="J49" s="2">
        <v>13529759336</v>
      </c>
      <c r="K49" s="2"/>
      <c r="L49" s="2"/>
    </row>
    <row r="50" spans="2:12" s="9" customFormat="1" ht="19.5" x14ac:dyDescent="0.55000000000000004">
      <c r="B50" s="10"/>
      <c r="C50" s="10"/>
      <c r="D50" s="2"/>
      <c r="E50" s="2"/>
      <c r="F50" s="2"/>
      <c r="G50" s="2"/>
      <c r="H50" s="2"/>
      <c r="I50" s="2"/>
      <c r="J50" s="2"/>
      <c r="K50" s="2"/>
      <c r="L50" s="2"/>
    </row>
    <row r="51" spans="2:12" ht="19.5" x14ac:dyDescent="0.55000000000000004">
      <c r="B51" s="3"/>
      <c r="C51" s="3" t="s">
        <v>71</v>
      </c>
      <c r="D51" s="1"/>
      <c r="E51" s="17">
        <f>+E5+E6+E7+E14+E15+E16+E21+E22+E25+E26+E29+E30+E31+E32</f>
        <v>1625330843</v>
      </c>
      <c r="F51" s="1">
        <f>+F48+F47+F46+F45+F44+F43+F42+F41+F40+F39+F38+F37+F36+F35+F34+F33+F27+F23+F19+F18+F17+F13+F12+F11+F10+F9+F8</f>
        <v>2469002296</v>
      </c>
      <c r="G51" s="17">
        <f>+G49+G28+G24+G20</f>
        <v>-1625330843</v>
      </c>
      <c r="H51" s="17">
        <f>+H49+H28+H24+H20</f>
        <v>1625330844</v>
      </c>
      <c r="I51" s="1">
        <v>-0.02</v>
      </c>
      <c r="J51" s="1"/>
      <c r="K51" s="1"/>
      <c r="L51" s="1"/>
    </row>
    <row r="52" spans="2:12" ht="19.5" x14ac:dyDescent="0.55000000000000004">
      <c r="B52" s="3"/>
      <c r="C52" s="3"/>
      <c r="D52" s="1"/>
      <c r="E52" s="1"/>
      <c r="F52" s="1"/>
      <c r="G52" s="1"/>
      <c r="H52" s="1"/>
      <c r="I52" s="1"/>
      <c r="J52" s="1"/>
      <c r="K52" s="1"/>
      <c r="L52" s="1"/>
    </row>
    <row r="53" spans="2:12" ht="19.5" x14ac:dyDescent="0.55000000000000004">
      <c r="D53" s="14"/>
      <c r="E53" s="14"/>
      <c r="F53" s="14">
        <f>+E51-F51</f>
        <v>-843671453</v>
      </c>
      <c r="G53" s="14"/>
      <c r="H53" s="14"/>
      <c r="I53" s="14"/>
      <c r="J53" s="14"/>
      <c r="K53" s="14"/>
      <c r="L53" s="14"/>
    </row>
    <row r="54" spans="2:12" ht="19.5" x14ac:dyDescent="0.55000000000000004">
      <c r="D54" s="14"/>
      <c r="E54" s="14"/>
      <c r="F54" s="14"/>
      <c r="G54" s="14"/>
      <c r="H54" s="14"/>
      <c r="I54" s="14"/>
      <c r="J54" s="14"/>
      <c r="K54" s="14"/>
      <c r="L54" s="14"/>
    </row>
    <row r="55" spans="2:12" ht="19.5" x14ac:dyDescent="0.55000000000000004">
      <c r="D55" s="14"/>
      <c r="E55" s="14"/>
      <c r="F55" s="14"/>
      <c r="G55" s="14"/>
      <c r="H55" s="14"/>
      <c r="I55" s="14"/>
      <c r="J55" s="14"/>
      <c r="K55" s="14"/>
      <c r="L55" s="14"/>
    </row>
    <row r="56" spans="2:12" ht="19.5" x14ac:dyDescent="0.55000000000000004">
      <c r="D56" s="14"/>
      <c r="E56" s="14"/>
      <c r="F56" s="14"/>
      <c r="G56" s="14"/>
      <c r="H56" s="14"/>
      <c r="I56" s="14"/>
      <c r="J56" s="14"/>
      <c r="K56" s="14"/>
      <c r="L56" s="14"/>
    </row>
    <row r="57" spans="2:12" ht="19.5" x14ac:dyDescent="0.55000000000000004">
      <c r="D57" s="14"/>
      <c r="E57" s="14"/>
      <c r="F57" s="14"/>
      <c r="G57" s="14"/>
      <c r="H57" s="14"/>
      <c r="I57" s="14"/>
      <c r="J57" s="14"/>
      <c r="K57" s="14"/>
      <c r="L57" s="14"/>
    </row>
    <row r="58" spans="2:12" ht="19.5" x14ac:dyDescent="0.55000000000000004">
      <c r="D58" s="14"/>
      <c r="E58" s="14"/>
      <c r="F58" s="14"/>
      <c r="G58" s="14"/>
      <c r="H58" s="14"/>
      <c r="I58" s="14"/>
      <c r="J58" s="14"/>
      <c r="K58" s="14"/>
      <c r="L58" s="14"/>
    </row>
    <row r="59" spans="2:12" ht="19.5" x14ac:dyDescent="0.55000000000000004">
      <c r="D59" s="14"/>
      <c r="E59" s="14"/>
      <c r="F59" s="14"/>
      <c r="G59" s="14"/>
      <c r="H59" s="14"/>
      <c r="I59" s="14"/>
      <c r="J59" s="14"/>
      <c r="K59" s="14"/>
      <c r="L59" s="14"/>
    </row>
    <row r="60" spans="2:12" ht="19.5" x14ac:dyDescent="0.55000000000000004">
      <c r="D60" s="14"/>
      <c r="E60" s="14"/>
      <c r="F60" s="14"/>
      <c r="G60" s="14"/>
      <c r="H60" s="14"/>
      <c r="I60" s="14"/>
      <c r="J60" s="14"/>
      <c r="K60" s="14"/>
      <c r="L60" s="14"/>
    </row>
    <row r="61" spans="2:12" ht="19.5" x14ac:dyDescent="0.55000000000000004">
      <c r="D61" s="14"/>
      <c r="E61" s="14"/>
      <c r="F61" s="14"/>
      <c r="G61" s="14"/>
      <c r="H61" s="14"/>
      <c r="I61" s="14"/>
      <c r="J61" s="14"/>
      <c r="K61" s="14"/>
      <c r="L61" s="14"/>
    </row>
    <row r="62" spans="2:12" ht="19.5" x14ac:dyDescent="0.55000000000000004">
      <c r="D62" s="14"/>
      <c r="E62" s="14"/>
      <c r="F62" s="14"/>
      <c r="G62" s="14"/>
      <c r="H62" s="14"/>
      <c r="I62" s="14"/>
      <c r="J62" s="14"/>
      <c r="K62" s="14"/>
      <c r="L62" s="14"/>
    </row>
    <row r="63" spans="2:12" ht="19.5" x14ac:dyDescent="0.55000000000000004">
      <c r="D63" s="14"/>
      <c r="E63" s="14"/>
      <c r="F63" s="14"/>
      <c r="G63" s="14"/>
      <c r="H63" s="14"/>
      <c r="I63" s="14"/>
      <c r="J63" s="14"/>
      <c r="K63" s="14"/>
      <c r="L63" s="14"/>
    </row>
    <row r="64" spans="2:12" ht="19.5" x14ac:dyDescent="0.55000000000000004">
      <c r="D64" s="14"/>
      <c r="E64" s="14"/>
      <c r="F64" s="14"/>
      <c r="G64" s="14"/>
      <c r="H64" s="14"/>
      <c r="I64" s="14"/>
      <c r="J64" s="14"/>
      <c r="K64" s="14"/>
      <c r="L64" s="14"/>
    </row>
    <row r="65" spans="4:12" ht="19.5" x14ac:dyDescent="0.55000000000000004">
      <c r="D65" s="14"/>
      <c r="E65" s="14"/>
      <c r="F65" s="14"/>
      <c r="G65" s="14"/>
      <c r="H65" s="14"/>
      <c r="I65" s="14"/>
      <c r="J65" s="14"/>
      <c r="K65" s="14"/>
      <c r="L65" s="14"/>
    </row>
    <row r="66" spans="4:12" ht="19.5" x14ac:dyDescent="0.55000000000000004">
      <c r="D66" s="14"/>
      <c r="E66" s="14"/>
      <c r="F66" s="14"/>
      <c r="G66" s="14"/>
      <c r="H66" s="14"/>
      <c r="I66" s="14"/>
      <c r="J66" s="14"/>
      <c r="K66" s="14"/>
      <c r="L66" s="14"/>
    </row>
    <row r="67" spans="4:12" ht="19.5" x14ac:dyDescent="0.55000000000000004">
      <c r="D67" s="14"/>
      <c r="E67" s="14"/>
      <c r="F67" s="14"/>
      <c r="G67" s="14"/>
      <c r="H67" s="14"/>
      <c r="I67" s="14"/>
      <c r="J67" s="14"/>
      <c r="K67" s="14"/>
      <c r="L67" s="14"/>
    </row>
    <row r="68" spans="4:12" ht="19.5" x14ac:dyDescent="0.55000000000000004">
      <c r="D68" s="14"/>
      <c r="E68" s="14"/>
      <c r="F68" s="14"/>
      <c r="G68" s="14"/>
      <c r="H68" s="14"/>
      <c r="I68" s="14"/>
      <c r="J68" s="14"/>
      <c r="K68" s="14"/>
      <c r="L68" s="14"/>
    </row>
    <row r="69" spans="4:12" ht="19.5" x14ac:dyDescent="0.55000000000000004">
      <c r="D69" s="14"/>
      <c r="E69" s="14"/>
      <c r="F69" s="14"/>
      <c r="G69" s="14"/>
      <c r="H69" s="14"/>
      <c r="I69" s="14"/>
      <c r="J69" s="14"/>
      <c r="K69" s="14"/>
      <c r="L69" s="14"/>
    </row>
    <row r="70" spans="4:12" ht="19.5" x14ac:dyDescent="0.55000000000000004">
      <c r="D70" s="14"/>
      <c r="E70" s="14"/>
      <c r="F70" s="14"/>
      <c r="G70" s="14"/>
      <c r="H70" s="14"/>
      <c r="I70" s="14"/>
      <c r="J70" s="14"/>
      <c r="K70" s="14"/>
      <c r="L70" s="14"/>
    </row>
    <row r="71" spans="4:12" ht="19.5" x14ac:dyDescent="0.55000000000000004">
      <c r="D71" s="14"/>
      <c r="E71" s="14"/>
      <c r="F71" s="14"/>
      <c r="G71" s="14"/>
      <c r="H71" s="14"/>
      <c r="I71" s="14"/>
      <c r="J71" s="14"/>
      <c r="K71" s="14"/>
      <c r="L71" s="14"/>
    </row>
    <row r="72" spans="4:12" ht="19.5" x14ac:dyDescent="0.55000000000000004">
      <c r="D72" s="14"/>
      <c r="E72" s="14"/>
      <c r="F72" s="14"/>
      <c r="G72" s="14"/>
      <c r="H72" s="14"/>
      <c r="I72" s="14"/>
      <c r="J72" s="14"/>
      <c r="K72" s="14"/>
      <c r="L72" s="14"/>
    </row>
    <row r="73" spans="4:12" ht="19.5" x14ac:dyDescent="0.55000000000000004">
      <c r="D73" s="14"/>
      <c r="E73" s="14"/>
      <c r="F73" s="14"/>
      <c r="G73" s="14"/>
      <c r="H73" s="14"/>
      <c r="I73" s="14"/>
      <c r="J73" s="14"/>
      <c r="K73" s="14"/>
      <c r="L73" s="14"/>
    </row>
    <row r="74" spans="4:12" ht="19.5" x14ac:dyDescent="0.55000000000000004">
      <c r="D74" s="14"/>
      <c r="E74" s="14"/>
      <c r="F74" s="14"/>
      <c r="G74" s="14"/>
      <c r="H74" s="14"/>
      <c r="I74" s="14"/>
      <c r="J74" s="14"/>
      <c r="K74" s="14"/>
      <c r="L74" s="14"/>
    </row>
    <row r="75" spans="4:12" ht="19.5" x14ac:dyDescent="0.55000000000000004">
      <c r="D75" s="14"/>
      <c r="E75" s="14"/>
      <c r="F75" s="14"/>
      <c r="G75" s="14"/>
      <c r="H75" s="14"/>
      <c r="I75" s="14"/>
      <c r="J75" s="14"/>
      <c r="K75" s="14"/>
      <c r="L75" s="14"/>
    </row>
    <row r="76" spans="4:12" ht="19.5" x14ac:dyDescent="0.55000000000000004">
      <c r="D76" s="14"/>
      <c r="E76" s="14"/>
      <c r="F76" s="14"/>
      <c r="G76" s="14"/>
      <c r="H76" s="14"/>
      <c r="I76" s="14"/>
      <c r="J76" s="14"/>
      <c r="K76" s="14"/>
      <c r="L76" s="14"/>
    </row>
    <row r="77" spans="4:12" ht="19.5" x14ac:dyDescent="0.55000000000000004">
      <c r="D77" s="14"/>
      <c r="E77" s="14"/>
      <c r="F77" s="14"/>
      <c r="G77" s="14"/>
      <c r="H77" s="14"/>
      <c r="I77" s="14"/>
      <c r="J77" s="14"/>
      <c r="K77" s="14"/>
      <c r="L77" s="14"/>
    </row>
    <row r="78" spans="4:12" ht="19.5" x14ac:dyDescent="0.55000000000000004">
      <c r="D78" s="14"/>
      <c r="E78" s="14"/>
      <c r="F78" s="14"/>
      <c r="G78" s="14"/>
      <c r="H78" s="14"/>
      <c r="I78" s="14"/>
      <c r="J78" s="14"/>
      <c r="K78" s="14"/>
      <c r="L78" s="14"/>
    </row>
    <row r="79" spans="4:12" ht="19.5" x14ac:dyDescent="0.55000000000000004">
      <c r="D79" s="14"/>
      <c r="E79" s="14"/>
      <c r="F79" s="14"/>
      <c r="G79" s="14"/>
      <c r="H79" s="14"/>
      <c r="I79" s="14"/>
      <c r="J79" s="14"/>
      <c r="K79" s="14"/>
      <c r="L79" s="14"/>
    </row>
    <row r="80" spans="4:12" ht="19.5" x14ac:dyDescent="0.55000000000000004">
      <c r="D80" s="14"/>
      <c r="E80" s="14"/>
      <c r="F80" s="14"/>
      <c r="G80" s="14"/>
      <c r="H80" s="14"/>
      <c r="I80" s="14"/>
      <c r="J80" s="14"/>
      <c r="K80" s="14"/>
      <c r="L80" s="14"/>
    </row>
    <row r="81" spans="4:12" ht="19.5" x14ac:dyDescent="0.55000000000000004">
      <c r="D81" s="14"/>
      <c r="E81" s="14"/>
      <c r="F81" s="14"/>
      <c r="G81" s="14"/>
      <c r="H81" s="14"/>
      <c r="I81" s="14"/>
      <c r="J81" s="14"/>
      <c r="K81" s="14"/>
      <c r="L81" s="14"/>
    </row>
    <row r="82" spans="4:12" ht="19.5" x14ac:dyDescent="0.55000000000000004">
      <c r="D82" s="14"/>
      <c r="E82" s="14"/>
      <c r="F82" s="14"/>
      <c r="G82" s="14"/>
      <c r="H82" s="14"/>
      <c r="I82" s="14"/>
      <c r="J82" s="14"/>
      <c r="K82" s="14"/>
      <c r="L82" s="14"/>
    </row>
    <row r="83" spans="4:12" ht="19.5" x14ac:dyDescent="0.55000000000000004">
      <c r="D83" s="14"/>
      <c r="E83" s="14"/>
      <c r="F83" s="14"/>
      <c r="G83" s="14"/>
      <c r="H83" s="14"/>
      <c r="I83" s="14"/>
      <c r="J83" s="14"/>
      <c r="K83" s="14"/>
      <c r="L83" s="14"/>
    </row>
    <row r="84" spans="4:12" ht="19.5" x14ac:dyDescent="0.55000000000000004">
      <c r="D84" s="14"/>
      <c r="E84" s="14"/>
      <c r="F84" s="14"/>
      <c r="G84" s="14"/>
      <c r="H84" s="14"/>
      <c r="I84" s="14"/>
      <c r="J84" s="14"/>
      <c r="K84" s="14"/>
      <c r="L84" s="14"/>
    </row>
    <row r="85" spans="4:12" ht="19.5" x14ac:dyDescent="0.55000000000000004">
      <c r="D85" s="14"/>
      <c r="E85" s="14"/>
      <c r="F85" s="14"/>
      <c r="G85" s="14"/>
      <c r="H85" s="14"/>
      <c r="I85" s="14"/>
      <c r="J85" s="14"/>
      <c r="K85" s="14"/>
      <c r="L85" s="14"/>
    </row>
    <row r="86" spans="4:12" ht="19.5" x14ac:dyDescent="0.55000000000000004">
      <c r="D86" s="14"/>
      <c r="E86" s="14"/>
      <c r="F86" s="14"/>
      <c r="G86" s="14"/>
      <c r="H86" s="14"/>
      <c r="I86" s="14"/>
      <c r="J86" s="14"/>
      <c r="K86" s="14"/>
      <c r="L86" s="14"/>
    </row>
    <row r="87" spans="4:12" ht="19.5" x14ac:dyDescent="0.55000000000000004">
      <c r="D87" s="14"/>
      <c r="E87" s="14"/>
      <c r="F87" s="14"/>
      <c r="G87" s="14"/>
      <c r="H87" s="14"/>
      <c r="I87" s="14"/>
      <c r="J87" s="14"/>
      <c r="K87" s="14"/>
      <c r="L87" s="14"/>
    </row>
    <row r="88" spans="4:12" ht="19.5" x14ac:dyDescent="0.55000000000000004">
      <c r="D88" s="14"/>
      <c r="E88" s="14"/>
      <c r="F88" s="14"/>
      <c r="G88" s="14"/>
      <c r="H88" s="14"/>
      <c r="I88" s="14"/>
      <c r="J88" s="14"/>
      <c r="K88" s="14"/>
      <c r="L88" s="14"/>
    </row>
    <row r="89" spans="4:12" ht="19.5" x14ac:dyDescent="0.55000000000000004">
      <c r="D89" s="14"/>
      <c r="E89" s="14"/>
      <c r="F89" s="14"/>
      <c r="G89" s="14"/>
      <c r="H89" s="14"/>
      <c r="I89" s="14"/>
      <c r="J89" s="14"/>
      <c r="K89" s="14"/>
      <c r="L89" s="14"/>
    </row>
    <row r="90" spans="4:12" x14ac:dyDescent="0.25">
      <c r="D90" s="15"/>
      <c r="E90" s="15"/>
      <c r="F90" s="15"/>
      <c r="G90" s="15"/>
      <c r="H90" s="15"/>
      <c r="I90" s="15"/>
      <c r="J90" s="15"/>
      <c r="K90" s="16"/>
      <c r="L90" s="16"/>
    </row>
    <row r="91" spans="4:12" x14ac:dyDescent="0.25">
      <c r="D91" s="15"/>
      <c r="E91" s="15"/>
      <c r="F91" s="15"/>
      <c r="G91" s="15"/>
      <c r="H91" s="15"/>
      <c r="I91" s="15"/>
      <c r="J91" s="15"/>
      <c r="K91" s="16"/>
      <c r="L91" s="16"/>
    </row>
    <row r="92" spans="4:12" x14ac:dyDescent="0.25">
      <c r="D92" s="15"/>
      <c r="E92" s="15"/>
      <c r="F92" s="15"/>
      <c r="G92" s="15"/>
      <c r="H92" s="15"/>
      <c r="I92" s="15"/>
      <c r="J92" s="15"/>
      <c r="K92" s="16"/>
      <c r="L92" s="16"/>
    </row>
    <row r="93" spans="4:12" x14ac:dyDescent="0.25">
      <c r="D93" s="15"/>
      <c r="E93" s="15"/>
      <c r="F93" s="15"/>
      <c r="G93" s="15"/>
      <c r="H93" s="15"/>
      <c r="I93" s="15"/>
      <c r="J93" s="15"/>
      <c r="K93" s="16"/>
      <c r="L93" s="16"/>
    </row>
    <row r="94" spans="4:12" x14ac:dyDescent="0.25">
      <c r="D94" s="15"/>
      <c r="E94" s="15"/>
      <c r="F94" s="15"/>
      <c r="G94" s="15"/>
      <c r="H94" s="15"/>
      <c r="I94" s="15"/>
      <c r="J94" s="15"/>
      <c r="K94" s="16"/>
      <c r="L94" s="16"/>
    </row>
    <row r="95" spans="4:12" x14ac:dyDescent="0.25">
      <c r="D95" s="15"/>
      <c r="E95" s="15"/>
      <c r="F95" s="15"/>
      <c r="G95" s="15"/>
      <c r="H95" s="15"/>
      <c r="I95" s="15"/>
      <c r="J95" s="15"/>
      <c r="K95" s="16"/>
      <c r="L95" s="16"/>
    </row>
  </sheetData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E5CE-3887-4B29-A41B-496F1AFB62AB}">
  <dimension ref="B2:M101"/>
  <sheetViews>
    <sheetView workbookViewId="0">
      <selection activeCell="J25" sqref="J25"/>
    </sheetView>
  </sheetViews>
  <sheetFormatPr defaultRowHeight="15" x14ac:dyDescent="0.25"/>
  <cols>
    <col min="3" max="3" width="33" customWidth="1"/>
    <col min="4" max="4" width="21.5703125" style="8" customWidth="1"/>
    <col min="5" max="5" width="25.42578125" style="8" bestFit="1" customWidth="1"/>
    <col min="6" max="6" width="21" style="8" bestFit="1" customWidth="1"/>
    <col min="7" max="7" width="16.140625" style="8" bestFit="1" customWidth="1"/>
    <col min="8" max="8" width="16.42578125" style="8" customWidth="1"/>
    <col min="9" max="9" width="17" style="8" bestFit="1" customWidth="1"/>
    <col min="10" max="10" width="24.5703125" style="8" bestFit="1" customWidth="1"/>
    <col min="11" max="11" width="23.140625" style="8" customWidth="1"/>
  </cols>
  <sheetData>
    <row r="2" spans="2:13" s="5" customFormat="1" x14ac:dyDescent="0.25">
      <c r="B2" s="4" t="s">
        <v>0</v>
      </c>
      <c r="C2" s="4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/>
      <c r="J2" s="6" t="s">
        <v>7</v>
      </c>
      <c r="K2" s="6" t="s">
        <v>8</v>
      </c>
    </row>
    <row r="3" spans="2:13" ht="19.5" x14ac:dyDescent="0.55000000000000004">
      <c r="B3" s="3"/>
      <c r="C3" s="3"/>
      <c r="D3" s="7"/>
      <c r="E3" s="1"/>
      <c r="F3" s="7"/>
      <c r="G3" s="7"/>
      <c r="H3" s="7"/>
      <c r="I3" s="7"/>
      <c r="J3" s="7"/>
      <c r="K3" s="7"/>
    </row>
    <row r="4" spans="2:13" x14ac:dyDescent="0.25">
      <c r="B4" s="3"/>
      <c r="C4" s="3" t="s">
        <v>9</v>
      </c>
      <c r="D4" s="7"/>
      <c r="E4" s="7"/>
      <c r="F4" s="7"/>
      <c r="G4" s="7"/>
      <c r="H4" s="7"/>
      <c r="I4" s="7"/>
      <c r="J4" s="7"/>
      <c r="K4" s="7"/>
    </row>
    <row r="5" spans="2:13" ht="19.5" x14ac:dyDescent="0.55000000000000004">
      <c r="B5" s="3">
        <v>400001</v>
      </c>
      <c r="C5" s="3" t="s">
        <v>10</v>
      </c>
      <c r="D5" s="1">
        <v>25736581049</v>
      </c>
      <c r="E5" s="1">
        <v>224247838</v>
      </c>
      <c r="F5" s="1">
        <v>-224247838</v>
      </c>
      <c r="G5" s="1">
        <v>-224247838</v>
      </c>
      <c r="H5" s="1"/>
      <c r="I5" s="1"/>
      <c r="J5" s="1"/>
      <c r="K5" s="1">
        <v>25736581049</v>
      </c>
      <c r="L5" s="1"/>
      <c r="M5" s="1"/>
    </row>
    <row r="6" spans="2:13" ht="19.5" x14ac:dyDescent="0.55000000000000004">
      <c r="B6" s="3">
        <v>400002</v>
      </c>
      <c r="C6" s="3" t="s">
        <v>11</v>
      </c>
      <c r="D6" s="1">
        <v>1361427756</v>
      </c>
      <c r="E6" s="1">
        <v>142923623</v>
      </c>
      <c r="F6" s="1">
        <v>-142923623</v>
      </c>
      <c r="G6" s="1">
        <v>-142923623</v>
      </c>
      <c r="H6" s="1"/>
      <c r="I6" s="1"/>
      <c r="J6" s="1"/>
      <c r="K6" s="1">
        <v>1361427756</v>
      </c>
      <c r="L6" s="1"/>
      <c r="M6" s="1"/>
    </row>
    <row r="7" spans="2:13" ht="19.5" x14ac:dyDescent="0.55000000000000004">
      <c r="B7" s="3">
        <v>400003</v>
      </c>
      <c r="C7" s="3" t="s">
        <v>12</v>
      </c>
      <c r="D7" s="1">
        <v>18453600</v>
      </c>
      <c r="E7" s="1">
        <v>31269245</v>
      </c>
      <c r="F7" s="1">
        <v>-31269245</v>
      </c>
      <c r="G7" s="1">
        <v>-31269245</v>
      </c>
      <c r="H7" s="1"/>
      <c r="I7" s="1"/>
      <c r="J7" s="1"/>
      <c r="K7" s="1">
        <v>18453600</v>
      </c>
      <c r="L7" s="1"/>
      <c r="M7" s="1"/>
    </row>
    <row r="8" spans="2:13" ht="19.5" x14ac:dyDescent="0.55000000000000004">
      <c r="B8" s="3">
        <v>400005</v>
      </c>
      <c r="C8" s="3" t="s">
        <v>13</v>
      </c>
      <c r="D8" s="1">
        <v>428929958</v>
      </c>
      <c r="E8" s="1">
        <v>-31323983</v>
      </c>
      <c r="F8" s="1">
        <v>31323983</v>
      </c>
      <c r="G8" s="1"/>
      <c r="H8" s="1">
        <v>31323983</v>
      </c>
      <c r="I8" s="1"/>
      <c r="J8" s="1"/>
      <c r="K8" s="1">
        <v>428929958</v>
      </c>
      <c r="L8" s="1"/>
      <c r="M8" s="1"/>
    </row>
    <row r="9" spans="2:13" ht="19.5" x14ac:dyDescent="0.55000000000000004">
      <c r="B9" s="3">
        <v>400007</v>
      </c>
      <c r="C9" s="3" t="s">
        <v>14</v>
      </c>
      <c r="D9" s="1">
        <v>1703568828</v>
      </c>
      <c r="E9" s="1">
        <v>-70278540</v>
      </c>
      <c r="F9" s="1">
        <v>70278540</v>
      </c>
      <c r="G9" s="1"/>
      <c r="H9" s="1">
        <v>70278540</v>
      </c>
      <c r="I9" s="1"/>
      <c r="J9" s="1"/>
      <c r="K9" s="1">
        <v>1703568828</v>
      </c>
      <c r="L9" s="1"/>
      <c r="M9" s="1"/>
    </row>
    <row r="10" spans="2:13" ht="19.5" x14ac:dyDescent="0.55000000000000004">
      <c r="B10" s="3">
        <v>400012</v>
      </c>
      <c r="C10" s="3" t="s">
        <v>15</v>
      </c>
      <c r="D10" s="1">
        <v>201675714</v>
      </c>
      <c r="E10" s="1">
        <v>-64200568</v>
      </c>
      <c r="F10" s="1">
        <v>64200568</v>
      </c>
      <c r="G10" s="1"/>
      <c r="H10" s="1">
        <v>64200568</v>
      </c>
      <c r="I10" s="1"/>
      <c r="J10" s="1"/>
      <c r="K10" s="1">
        <v>201675714</v>
      </c>
      <c r="L10" s="1"/>
      <c r="M10" s="1"/>
    </row>
    <row r="11" spans="2:13" ht="19.5" x14ac:dyDescent="0.55000000000000004">
      <c r="B11" s="3">
        <v>400018</v>
      </c>
      <c r="C11" s="3" t="s">
        <v>16</v>
      </c>
      <c r="D11" s="1">
        <v>505876760</v>
      </c>
      <c r="E11" s="1">
        <v>-155009240</v>
      </c>
      <c r="F11" s="1">
        <v>155009240</v>
      </c>
      <c r="G11" s="1"/>
      <c r="H11" s="1">
        <v>155009240</v>
      </c>
      <c r="I11" s="1"/>
      <c r="J11" s="1"/>
      <c r="K11" s="1">
        <v>505876760</v>
      </c>
      <c r="L11" s="1"/>
      <c r="M11" s="1"/>
    </row>
    <row r="12" spans="2:13" ht="19.5" x14ac:dyDescent="0.55000000000000004">
      <c r="B12" s="3">
        <v>400019</v>
      </c>
      <c r="C12" s="3" t="s">
        <v>17</v>
      </c>
      <c r="D12" s="1">
        <v>321072928</v>
      </c>
      <c r="E12" s="1">
        <v>-52293617</v>
      </c>
      <c r="F12" s="1">
        <v>52293617</v>
      </c>
      <c r="G12" s="1"/>
      <c r="H12" s="1">
        <v>52293617</v>
      </c>
      <c r="I12" s="1"/>
      <c r="J12" s="1"/>
      <c r="K12" s="1">
        <v>321072928</v>
      </c>
      <c r="L12" s="1"/>
      <c r="M12" s="1"/>
    </row>
    <row r="13" spans="2:13" ht="19.5" x14ac:dyDescent="0.55000000000000004">
      <c r="B13" s="3">
        <v>400021</v>
      </c>
      <c r="C13" s="3" t="s">
        <v>18</v>
      </c>
      <c r="D13" s="1">
        <v>66256522</v>
      </c>
      <c r="E13" s="1">
        <v>-56427200</v>
      </c>
      <c r="F13" s="1">
        <v>56427200</v>
      </c>
      <c r="G13" s="1"/>
      <c r="H13" s="1">
        <v>56427200</v>
      </c>
      <c r="I13" s="1"/>
      <c r="J13" s="1"/>
      <c r="K13" s="1">
        <v>66256522</v>
      </c>
      <c r="L13" s="1"/>
      <c r="M13" s="1"/>
    </row>
    <row r="14" spans="2:13" ht="19.5" x14ac:dyDescent="0.55000000000000004">
      <c r="B14" s="3">
        <v>400022</v>
      </c>
      <c r="C14" s="3" t="s">
        <v>19</v>
      </c>
      <c r="D14" s="1">
        <v>16019000</v>
      </c>
      <c r="E14" s="1">
        <v>36708881</v>
      </c>
      <c r="F14" s="1">
        <v>-36708881</v>
      </c>
      <c r="G14" s="1">
        <v>-36708881</v>
      </c>
      <c r="H14" s="1"/>
      <c r="I14" s="1"/>
      <c r="J14" s="1"/>
      <c r="K14" s="1">
        <v>16019000</v>
      </c>
      <c r="L14" s="1"/>
      <c r="M14" s="1"/>
    </row>
    <row r="15" spans="2:13" ht="19.5" x14ac:dyDescent="0.55000000000000004">
      <c r="B15" s="3">
        <v>400024</v>
      </c>
      <c r="C15" s="3" t="s">
        <v>20</v>
      </c>
      <c r="D15" s="1">
        <v>516497753</v>
      </c>
      <c r="E15" s="1">
        <v>267002380</v>
      </c>
      <c r="F15" s="1">
        <v>-267002380</v>
      </c>
      <c r="G15" s="1">
        <v>-267002380</v>
      </c>
      <c r="H15" s="1"/>
      <c r="I15" s="1"/>
      <c r="J15" s="1"/>
      <c r="K15" s="1">
        <v>516497753</v>
      </c>
      <c r="L15" s="1"/>
      <c r="M15" s="1"/>
    </row>
    <row r="16" spans="2:13" ht="19.5" x14ac:dyDescent="0.55000000000000004">
      <c r="B16" s="3">
        <v>400025</v>
      </c>
      <c r="C16" s="3" t="s">
        <v>21</v>
      </c>
      <c r="D16" s="1">
        <v>158815266</v>
      </c>
      <c r="E16" s="1">
        <v>11416280</v>
      </c>
      <c r="F16" s="1">
        <v>-11416280</v>
      </c>
      <c r="G16" s="1">
        <v>-11416280</v>
      </c>
      <c r="H16" s="1"/>
      <c r="I16" s="1"/>
      <c r="J16" s="1"/>
      <c r="K16" s="1">
        <v>158815266</v>
      </c>
      <c r="L16" s="1"/>
      <c r="M16" s="1"/>
    </row>
    <row r="17" spans="2:13" ht="19.5" x14ac:dyDescent="0.55000000000000004">
      <c r="B17" s="3">
        <v>400014</v>
      </c>
      <c r="C17" s="3" t="s">
        <v>23</v>
      </c>
      <c r="D17" s="1">
        <v>127180000</v>
      </c>
      <c r="E17" s="1">
        <v>-62580004</v>
      </c>
      <c r="F17" s="1">
        <v>62580004</v>
      </c>
      <c r="G17" s="1"/>
      <c r="H17" s="1">
        <f>+F17</f>
        <v>62580004</v>
      </c>
      <c r="I17" s="1"/>
      <c r="J17" s="1"/>
      <c r="K17" s="1">
        <v>127180000</v>
      </c>
      <c r="L17" s="1"/>
      <c r="M17" s="1"/>
    </row>
    <row r="18" spans="2:13" ht="19.5" x14ac:dyDescent="0.55000000000000004">
      <c r="B18" s="3">
        <v>410016</v>
      </c>
      <c r="C18" s="3" t="s">
        <v>26</v>
      </c>
      <c r="D18" s="1">
        <v>67520</v>
      </c>
      <c r="E18" s="1">
        <v>-67520</v>
      </c>
      <c r="F18" s="1">
        <v>67520</v>
      </c>
      <c r="G18" s="1"/>
      <c r="H18" s="1">
        <f>+F18</f>
        <v>67520</v>
      </c>
      <c r="I18" s="1"/>
      <c r="J18" s="1"/>
      <c r="K18" s="1">
        <v>67520</v>
      </c>
      <c r="L18" s="1"/>
      <c r="M18" s="1"/>
    </row>
    <row r="19" spans="2:13" ht="19.5" x14ac:dyDescent="0.55000000000000004">
      <c r="B19" s="3">
        <v>400006</v>
      </c>
      <c r="C19" s="3" t="s">
        <v>24</v>
      </c>
      <c r="D19" s="1">
        <v>1164079958</v>
      </c>
      <c r="E19" s="1">
        <v>-419964094</v>
      </c>
      <c r="F19" s="1">
        <v>419964094</v>
      </c>
      <c r="G19" s="1"/>
      <c r="H19" s="1">
        <v>221387575</v>
      </c>
      <c r="I19" s="1"/>
      <c r="J19" s="1" t="s">
        <v>25</v>
      </c>
      <c r="K19" s="1">
        <v>1164079958</v>
      </c>
      <c r="L19" s="1"/>
      <c r="M19" s="1"/>
    </row>
    <row r="20" spans="2:13" s="9" customFormat="1" ht="19.5" x14ac:dyDescent="0.55000000000000004">
      <c r="B20" s="10"/>
      <c r="C20" s="10" t="s">
        <v>22</v>
      </c>
      <c r="D20" s="2">
        <v>46831879204</v>
      </c>
      <c r="E20" s="2">
        <v>57597897</v>
      </c>
      <c r="F20" s="2">
        <v>-284035100</v>
      </c>
      <c r="G20" s="2">
        <f>SUM(G5:G19)</f>
        <v>-713568247</v>
      </c>
      <c r="H20" s="2">
        <f>SUM(H5:H19)</f>
        <v>713568247</v>
      </c>
      <c r="I20" s="2">
        <f>+G20+H20</f>
        <v>0</v>
      </c>
      <c r="J20" s="2">
        <f t="shared" ref="J20" si="0">SUM(J5:J16)</f>
        <v>0</v>
      </c>
      <c r="K20" s="2">
        <v>46831879204</v>
      </c>
      <c r="L20" s="2"/>
      <c r="M20" s="2"/>
    </row>
    <row r="21" spans="2:13" ht="19.5" x14ac:dyDescent="0.55000000000000004">
      <c r="B21" s="3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ht="19.5" x14ac:dyDescent="0.55000000000000004"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ht="43.5" customHeight="1" x14ac:dyDescent="0.55000000000000004">
      <c r="B23" s="3">
        <v>400006</v>
      </c>
      <c r="C23" s="4" t="s">
        <v>72</v>
      </c>
      <c r="D23" s="1">
        <v>1164079958</v>
      </c>
      <c r="E23" s="1">
        <v>-419964094</v>
      </c>
      <c r="F23" s="1">
        <v>419964094</v>
      </c>
      <c r="G23" s="1"/>
      <c r="H23" s="1">
        <f>+F23-H19</f>
        <v>198576519</v>
      </c>
      <c r="I23" s="1"/>
      <c r="J23" s="1" t="s">
        <v>25</v>
      </c>
      <c r="K23" s="1">
        <v>1164079958</v>
      </c>
      <c r="L23" s="1"/>
      <c r="M23" s="1"/>
    </row>
    <row r="24" spans="2:13" s="9" customFormat="1" ht="19.5" x14ac:dyDescent="0.55000000000000004">
      <c r="B24" s="10"/>
      <c r="C24" s="10" t="s">
        <v>27</v>
      </c>
      <c r="D24" s="2">
        <v>9273879792</v>
      </c>
      <c r="E24" s="2">
        <v>-912583018</v>
      </c>
      <c r="F24" s="2">
        <v>482611618</v>
      </c>
      <c r="G24" s="2"/>
      <c r="H24" s="2"/>
      <c r="I24" s="2"/>
      <c r="J24" s="2">
        <v>429971400</v>
      </c>
      <c r="K24" s="2">
        <v>9273879792</v>
      </c>
      <c r="L24" s="2"/>
      <c r="M24" s="2"/>
    </row>
    <row r="25" spans="2:13" s="9" customFormat="1" ht="19.5" x14ac:dyDescent="0.55000000000000004">
      <c r="B25" s="10"/>
      <c r="C25" s="10" t="s">
        <v>28</v>
      </c>
      <c r="D25" s="2">
        <v>56105758996</v>
      </c>
      <c r="E25" s="2">
        <v>-854985121</v>
      </c>
      <c r="F25" s="2">
        <v>198576518</v>
      </c>
      <c r="G25" s="2"/>
      <c r="H25" s="2"/>
      <c r="I25" s="2"/>
      <c r="J25" s="2">
        <v>656408603</v>
      </c>
      <c r="K25" s="2">
        <v>56105758996</v>
      </c>
      <c r="L25" s="2"/>
      <c r="M25" s="2"/>
    </row>
    <row r="26" spans="2:13" ht="19.5" x14ac:dyDescent="0.55000000000000004">
      <c r="B26" s="3"/>
      <c r="C26" s="3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ht="19.5" x14ac:dyDescent="0.55000000000000004">
      <c r="B27" s="3">
        <v>420001</v>
      </c>
      <c r="C27" s="3" t="s">
        <v>30</v>
      </c>
      <c r="D27" s="1">
        <v>1673000000</v>
      </c>
      <c r="E27" s="1">
        <v>-598925100</v>
      </c>
      <c r="F27" s="1">
        <v>201737289</v>
      </c>
      <c r="G27" s="1"/>
      <c r="H27" s="1"/>
      <c r="I27" s="1"/>
      <c r="J27" s="1">
        <v>397187811</v>
      </c>
      <c r="K27" s="1">
        <v>1673000000</v>
      </c>
      <c r="L27" s="1"/>
      <c r="M27" s="1"/>
    </row>
    <row r="28" spans="2:13" ht="19.5" x14ac:dyDescent="0.55000000000000004">
      <c r="B28" s="3">
        <v>430003</v>
      </c>
      <c r="C28" s="3" t="s">
        <v>31</v>
      </c>
      <c r="D28" s="1">
        <v>679200</v>
      </c>
      <c r="E28" s="1">
        <v>2320800</v>
      </c>
      <c r="F28" s="1">
        <v>-2320800</v>
      </c>
      <c r="G28" s="1">
        <f>+F28</f>
        <v>-2320800</v>
      </c>
      <c r="H28" s="1"/>
      <c r="I28" s="1"/>
      <c r="J28" s="1"/>
      <c r="K28" s="1">
        <v>679200</v>
      </c>
      <c r="L28" s="1"/>
      <c r="M28" s="1"/>
    </row>
    <row r="29" spans="2:13" ht="19.5" x14ac:dyDescent="0.55000000000000004">
      <c r="B29" s="3">
        <v>430005</v>
      </c>
      <c r="C29" s="3" t="s">
        <v>32</v>
      </c>
      <c r="D29" s="1">
        <v>26713694</v>
      </c>
      <c r="E29" s="1">
        <v>-3743264</v>
      </c>
      <c r="F29" s="1">
        <v>3743264</v>
      </c>
      <c r="G29" s="1"/>
      <c r="H29" s="1"/>
      <c r="I29" s="1"/>
      <c r="J29" s="1"/>
      <c r="K29" s="1">
        <v>26713694</v>
      </c>
      <c r="L29" s="1"/>
      <c r="M29" s="1"/>
    </row>
    <row r="30" spans="2:13" ht="19.5" x14ac:dyDescent="0.55000000000000004">
      <c r="B30" s="3"/>
      <c r="C30" s="3" t="s">
        <v>33</v>
      </c>
      <c r="D30" s="1">
        <v>2020000</v>
      </c>
      <c r="E30" s="1">
        <v>418273</v>
      </c>
      <c r="F30" s="1">
        <v>-418273</v>
      </c>
      <c r="G30" s="1">
        <f>+F30</f>
        <v>-418273</v>
      </c>
      <c r="H30" s="1"/>
      <c r="I30" s="1"/>
      <c r="J30" s="1"/>
      <c r="K30" s="1">
        <v>2020000</v>
      </c>
      <c r="L30" s="1"/>
      <c r="M30" s="1"/>
    </row>
    <row r="31" spans="2:13" ht="19.5" x14ac:dyDescent="0.55000000000000004">
      <c r="B31" s="3">
        <v>430007</v>
      </c>
      <c r="C31" s="3" t="s">
        <v>34</v>
      </c>
      <c r="D31" s="1">
        <v>146190516</v>
      </c>
      <c r="E31" s="1">
        <v>-47970516</v>
      </c>
      <c r="F31" s="1">
        <v>47970516</v>
      </c>
      <c r="G31" s="1"/>
      <c r="H31" s="1"/>
      <c r="I31" s="1"/>
      <c r="J31" s="1"/>
      <c r="K31" s="1">
        <v>146190516</v>
      </c>
      <c r="L31" s="1"/>
      <c r="M31" s="1"/>
    </row>
    <row r="32" spans="2:13" ht="19.5" x14ac:dyDescent="0.55000000000000004">
      <c r="B32" s="3">
        <v>430009</v>
      </c>
      <c r="C32" s="3" t="s">
        <v>35</v>
      </c>
      <c r="D32" s="1">
        <v>5390000</v>
      </c>
      <c r="E32" s="1">
        <v>-10000</v>
      </c>
      <c r="F32" s="1">
        <v>10000</v>
      </c>
      <c r="G32" s="1"/>
      <c r="H32" s="1"/>
      <c r="I32" s="1"/>
      <c r="J32" s="1"/>
      <c r="K32" s="1">
        <v>5390000</v>
      </c>
      <c r="L32" s="1"/>
      <c r="M32" s="1"/>
    </row>
    <row r="33" spans="2:13" ht="19.5" x14ac:dyDescent="0.55000000000000004">
      <c r="B33" s="3">
        <v>430010</v>
      </c>
      <c r="C33" s="3" t="s">
        <v>36</v>
      </c>
      <c r="D33" s="1">
        <v>109235818</v>
      </c>
      <c r="E33" s="1">
        <v>-7532218</v>
      </c>
      <c r="F33" s="1">
        <v>7532218</v>
      </c>
      <c r="G33" s="1"/>
      <c r="H33" s="1"/>
      <c r="I33" s="1"/>
      <c r="J33" s="1"/>
      <c r="K33" s="1">
        <v>109235818</v>
      </c>
      <c r="L33" s="1"/>
      <c r="M33" s="1"/>
    </row>
    <row r="34" spans="2:13" s="9" customFormat="1" ht="19.5" x14ac:dyDescent="0.55000000000000004">
      <c r="B34" s="10"/>
      <c r="C34" s="10" t="s">
        <v>37</v>
      </c>
      <c r="D34" s="2">
        <v>5685773746</v>
      </c>
      <c r="E34" s="2">
        <v>-1821436525</v>
      </c>
      <c r="F34" s="2">
        <v>258254214</v>
      </c>
      <c r="G34" s="2"/>
      <c r="H34" s="2"/>
      <c r="I34" s="2"/>
      <c r="J34" s="2">
        <v>1563182311</v>
      </c>
      <c r="K34" s="2">
        <v>5685773746</v>
      </c>
      <c r="L34" s="2"/>
      <c r="M34" s="2"/>
    </row>
    <row r="35" spans="2:13" s="9" customFormat="1" ht="19.5" x14ac:dyDescent="0.55000000000000004">
      <c r="B35" s="10"/>
      <c r="C35" s="10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ht="19.5" x14ac:dyDescent="0.55000000000000004">
      <c r="B36" s="3">
        <v>440002</v>
      </c>
      <c r="C36" s="3" t="s">
        <v>39</v>
      </c>
      <c r="D36" s="1">
        <v>3160000</v>
      </c>
      <c r="E36" s="1">
        <v>-3160000</v>
      </c>
      <c r="F36" s="1">
        <v>3160000</v>
      </c>
      <c r="G36" s="1"/>
      <c r="H36" s="1"/>
      <c r="I36" s="1"/>
      <c r="J36" s="1"/>
      <c r="K36" s="1">
        <v>3160000</v>
      </c>
      <c r="L36" s="1"/>
      <c r="M36" s="1"/>
    </row>
    <row r="37" spans="2:13" ht="19.5" x14ac:dyDescent="0.55000000000000004">
      <c r="B37" s="3">
        <v>440007</v>
      </c>
      <c r="C37" s="3" t="s">
        <v>40</v>
      </c>
      <c r="D37" s="1">
        <v>681579943</v>
      </c>
      <c r="E37" s="1">
        <v>-161069943</v>
      </c>
      <c r="F37" s="1">
        <v>63600000</v>
      </c>
      <c r="G37" s="1"/>
      <c r="H37" s="1"/>
      <c r="I37" s="1"/>
      <c r="J37" s="1">
        <v>97469943</v>
      </c>
      <c r="K37" s="1">
        <v>681579943</v>
      </c>
      <c r="L37" s="1"/>
      <c r="M37" s="1"/>
    </row>
    <row r="38" spans="2:13" ht="19.5" x14ac:dyDescent="0.55000000000000004">
      <c r="B38" s="3">
        <v>440008</v>
      </c>
      <c r="C38" s="3" t="s">
        <v>41</v>
      </c>
      <c r="D38" s="1"/>
      <c r="E38" s="1" t="s">
        <v>42</v>
      </c>
      <c r="F38" s="1" t="s">
        <v>43</v>
      </c>
      <c r="G38" s="1"/>
      <c r="H38" s="1"/>
      <c r="I38" s="1"/>
      <c r="J38" s="1"/>
      <c r="K38" s="1" t="s">
        <v>44</v>
      </c>
      <c r="L38" s="1"/>
      <c r="M38" s="1"/>
    </row>
    <row r="39" spans="2:13" ht="19.5" x14ac:dyDescent="0.55000000000000004">
      <c r="B39" s="3">
        <v>440009</v>
      </c>
      <c r="C39" s="3" t="s">
        <v>45</v>
      </c>
      <c r="D39" s="1">
        <v>35424000</v>
      </c>
      <c r="E39" s="1">
        <v>-15424000</v>
      </c>
      <c r="F39" s="1">
        <v>15424000</v>
      </c>
      <c r="G39" s="1"/>
      <c r="H39" s="1"/>
      <c r="I39" s="1"/>
      <c r="J39" s="1" t="s">
        <v>25</v>
      </c>
      <c r="K39" s="1">
        <v>35424000</v>
      </c>
      <c r="L39" s="1"/>
      <c r="M39" s="1"/>
    </row>
    <row r="40" spans="2:13" ht="19.5" x14ac:dyDescent="0.55000000000000004">
      <c r="B40" s="3">
        <v>440015</v>
      </c>
      <c r="C40" s="3" t="s">
        <v>46</v>
      </c>
      <c r="D40" s="1">
        <v>162364020</v>
      </c>
      <c r="E40" s="1">
        <v>161635980</v>
      </c>
      <c r="F40" s="1">
        <v>-161635980</v>
      </c>
      <c r="G40" s="1"/>
      <c r="H40" s="1"/>
      <c r="I40" s="1"/>
      <c r="J40" s="1"/>
      <c r="K40" s="1">
        <v>162364020</v>
      </c>
      <c r="L40" s="1"/>
      <c r="M40" s="1"/>
    </row>
    <row r="41" spans="2:13" ht="19.5" x14ac:dyDescent="0.55000000000000004">
      <c r="B41" s="3">
        <v>440021</v>
      </c>
      <c r="C41" s="3" t="s">
        <v>47</v>
      </c>
      <c r="D41" s="1">
        <v>2775100</v>
      </c>
      <c r="E41" s="1">
        <v>352196</v>
      </c>
      <c r="F41" s="1">
        <v>-352196</v>
      </c>
      <c r="G41" s="1"/>
      <c r="H41" s="1"/>
      <c r="I41" s="1"/>
      <c r="J41" s="1"/>
      <c r="K41" s="1">
        <v>2775100</v>
      </c>
      <c r="L41" s="1"/>
      <c r="M41" s="1"/>
    </row>
    <row r="42" spans="2:13" ht="19.5" x14ac:dyDescent="0.55000000000000004">
      <c r="B42" s="3">
        <v>440022</v>
      </c>
      <c r="C42" s="3" t="s">
        <v>48</v>
      </c>
      <c r="D42" s="1">
        <v>518200</v>
      </c>
      <c r="E42" s="1">
        <v>-518200</v>
      </c>
      <c r="F42" s="1">
        <v>518200</v>
      </c>
      <c r="G42" s="1"/>
      <c r="H42" s="1"/>
      <c r="I42" s="1"/>
      <c r="J42" s="1"/>
      <c r="K42" s="1">
        <v>518200</v>
      </c>
      <c r="L42" s="1"/>
      <c r="M42" s="1"/>
    </row>
    <row r="43" spans="2:13" s="9" customFormat="1" ht="19.5" x14ac:dyDescent="0.55000000000000004">
      <c r="B43" s="10"/>
      <c r="C43" s="10" t="s">
        <v>49</v>
      </c>
      <c r="D43" s="2">
        <v>15205469222</v>
      </c>
      <c r="E43" s="2">
        <v>-1207216123</v>
      </c>
      <c r="F43" s="2">
        <v>-79285976</v>
      </c>
      <c r="G43" s="2"/>
      <c r="H43" s="2"/>
      <c r="I43" s="2"/>
      <c r="J43" s="2">
        <v>1286502099</v>
      </c>
      <c r="K43" s="2">
        <v>15205469222</v>
      </c>
      <c r="L43" s="2"/>
      <c r="M43" s="2"/>
    </row>
    <row r="44" spans="2:13" s="9" customFormat="1" ht="19.5" x14ac:dyDescent="0.55000000000000004">
      <c r="B44" s="10"/>
      <c r="C44" s="10" t="s">
        <v>50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19.5" x14ac:dyDescent="0.55000000000000004">
      <c r="B45" s="3">
        <v>450010</v>
      </c>
      <c r="C45" s="3" t="s">
        <v>51</v>
      </c>
      <c r="D45" s="1">
        <v>889075000</v>
      </c>
      <c r="E45" s="1">
        <v>-360252000</v>
      </c>
      <c r="F45" s="1">
        <v>9342000</v>
      </c>
      <c r="G45" s="1"/>
      <c r="H45" s="1"/>
      <c r="I45" s="1"/>
      <c r="J45" s="1">
        <v>350910000</v>
      </c>
      <c r="K45" s="1">
        <v>889075000</v>
      </c>
      <c r="L45" s="1"/>
      <c r="M45" s="1"/>
    </row>
    <row r="46" spans="2:13" ht="19.5" x14ac:dyDescent="0.55000000000000004">
      <c r="B46" s="3">
        <v>450014</v>
      </c>
      <c r="C46" s="3" t="s">
        <v>52</v>
      </c>
      <c r="D46" s="1">
        <v>252200596</v>
      </c>
      <c r="E46" s="1">
        <v>-92890716</v>
      </c>
      <c r="F46" s="1">
        <v>92890716</v>
      </c>
      <c r="G46" s="1"/>
      <c r="H46" s="1"/>
      <c r="I46" s="1"/>
      <c r="J46" s="1"/>
      <c r="K46" s="1">
        <v>252200596</v>
      </c>
      <c r="L46" s="1"/>
      <c r="M46" s="1"/>
    </row>
    <row r="47" spans="2:13" ht="19.5" x14ac:dyDescent="0.55000000000000004">
      <c r="B47" s="3">
        <v>450020</v>
      </c>
      <c r="C47" s="3" t="s">
        <v>53</v>
      </c>
      <c r="D47" s="1">
        <v>65796654</v>
      </c>
      <c r="E47" s="1">
        <v>127955166</v>
      </c>
      <c r="F47" s="1">
        <v>-127955166</v>
      </c>
      <c r="G47" s="1"/>
      <c r="H47" s="1"/>
      <c r="I47" s="1"/>
      <c r="J47" s="1"/>
      <c r="K47" s="1">
        <v>65796654</v>
      </c>
      <c r="L47" s="1"/>
      <c r="M47" s="1"/>
    </row>
    <row r="48" spans="2:13" ht="19.5" x14ac:dyDescent="0.55000000000000004">
      <c r="B48" s="3">
        <v>450021</v>
      </c>
      <c r="C48" s="3" t="s">
        <v>54</v>
      </c>
      <c r="D48" s="1">
        <v>16328916</v>
      </c>
      <c r="E48" s="1">
        <v>8171084</v>
      </c>
      <c r="F48" s="1">
        <v>-8171084</v>
      </c>
      <c r="G48" s="1"/>
      <c r="H48" s="1"/>
      <c r="I48" s="1"/>
      <c r="J48" s="1"/>
      <c r="K48" s="1">
        <v>16328916</v>
      </c>
      <c r="L48" s="1"/>
      <c r="M48" s="1"/>
    </row>
    <row r="49" spans="2:13" ht="19.5" x14ac:dyDescent="0.55000000000000004">
      <c r="B49" s="3">
        <v>450025</v>
      </c>
      <c r="C49" s="3" t="s">
        <v>55</v>
      </c>
      <c r="D49" s="1">
        <v>990017210</v>
      </c>
      <c r="E49" s="1">
        <v>55182790</v>
      </c>
      <c r="F49" s="1">
        <v>-55182790</v>
      </c>
      <c r="G49" s="1"/>
      <c r="H49" s="1"/>
      <c r="I49" s="1"/>
      <c r="J49" s="1"/>
      <c r="K49" s="1">
        <v>990017210</v>
      </c>
      <c r="L49" s="1"/>
      <c r="M49" s="1"/>
    </row>
    <row r="50" spans="2:13" ht="19.5" x14ac:dyDescent="0.55000000000000004">
      <c r="B50" s="3">
        <v>450027</v>
      </c>
      <c r="C50" s="3" t="s">
        <v>56</v>
      </c>
      <c r="D50" s="1">
        <v>626000000</v>
      </c>
      <c r="E50" s="1">
        <v>-168000000</v>
      </c>
      <c r="F50" s="1">
        <v>168000000</v>
      </c>
      <c r="G50" s="1"/>
      <c r="H50" s="1"/>
      <c r="I50" s="1"/>
      <c r="J50" s="1"/>
      <c r="K50" s="1">
        <v>626000000</v>
      </c>
      <c r="L50" s="1"/>
      <c r="M50" s="1"/>
    </row>
    <row r="51" spans="2:13" ht="19.5" x14ac:dyDescent="0.55000000000000004">
      <c r="B51" s="3">
        <v>450028</v>
      </c>
      <c r="C51" s="3" t="s">
        <v>57</v>
      </c>
      <c r="D51" s="1">
        <v>71002000</v>
      </c>
      <c r="E51" s="1">
        <v>-11402000</v>
      </c>
      <c r="F51" s="1">
        <v>11402000</v>
      </c>
      <c r="G51" s="1"/>
      <c r="H51" s="1"/>
      <c r="I51" s="1"/>
      <c r="J51" s="1"/>
      <c r="K51" s="1">
        <v>71002000</v>
      </c>
      <c r="L51" s="1"/>
      <c r="M51" s="1"/>
    </row>
    <row r="52" spans="2:13" ht="19.5" x14ac:dyDescent="0.55000000000000004">
      <c r="B52" s="3">
        <v>450032</v>
      </c>
      <c r="C52" s="3" t="s">
        <v>58</v>
      </c>
      <c r="D52" s="1">
        <v>1969469833</v>
      </c>
      <c r="E52" s="1">
        <v>555726307</v>
      </c>
      <c r="F52" s="1">
        <v>-555726307</v>
      </c>
      <c r="G52" s="1"/>
      <c r="H52" s="1"/>
      <c r="I52" s="1"/>
      <c r="J52" s="1"/>
      <c r="K52" s="1">
        <v>1969469833</v>
      </c>
      <c r="L52" s="1"/>
      <c r="M52" s="1"/>
    </row>
    <row r="53" spans="2:13" ht="19.5" x14ac:dyDescent="0.55000000000000004">
      <c r="B53" s="3">
        <v>450037</v>
      </c>
      <c r="C53" s="3" t="s">
        <v>59</v>
      </c>
      <c r="D53" s="1">
        <v>36850000</v>
      </c>
      <c r="E53" s="1">
        <v>-22850000</v>
      </c>
      <c r="F53" s="1">
        <v>22850000</v>
      </c>
      <c r="G53" s="1"/>
      <c r="H53" s="1"/>
      <c r="I53" s="1"/>
      <c r="J53" s="1"/>
      <c r="K53" s="1">
        <v>36850000</v>
      </c>
      <c r="L53" s="1"/>
      <c r="M53" s="1"/>
    </row>
    <row r="54" spans="2:13" ht="19.5" x14ac:dyDescent="0.55000000000000004">
      <c r="B54" s="3">
        <v>450042</v>
      </c>
      <c r="C54" s="3" t="s">
        <v>60</v>
      </c>
      <c r="D54" s="1">
        <v>183085875</v>
      </c>
      <c r="E54" s="1">
        <v>-65005875</v>
      </c>
      <c r="F54" s="1">
        <v>65005875</v>
      </c>
      <c r="G54" s="1"/>
      <c r="H54" s="1"/>
      <c r="I54" s="1"/>
      <c r="J54" s="1"/>
      <c r="K54" s="1">
        <v>183085875</v>
      </c>
      <c r="L54" s="1"/>
      <c r="M54" s="1"/>
    </row>
    <row r="55" spans="2:13" s="9" customFormat="1" ht="19.5" x14ac:dyDescent="0.55000000000000004">
      <c r="B55" s="10"/>
      <c r="C55" s="10" t="s">
        <v>61</v>
      </c>
      <c r="D55" s="2">
        <v>13529759336</v>
      </c>
      <c r="E55" s="2">
        <v>-1096958190</v>
      </c>
      <c r="F55" s="2">
        <v>-377544756</v>
      </c>
      <c r="G55" s="2"/>
      <c r="H55" s="2"/>
      <c r="I55" s="2"/>
      <c r="J55" s="2">
        <v>1474502946</v>
      </c>
      <c r="K55" s="2">
        <v>13529759336</v>
      </c>
      <c r="L55" s="2"/>
      <c r="M55" s="2"/>
    </row>
    <row r="56" spans="2:13" s="9" customFormat="1" ht="19.5" x14ac:dyDescent="0.55000000000000004">
      <c r="B56" s="10"/>
      <c r="C56" s="10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s="9" customFormat="1" ht="19.5" x14ac:dyDescent="0.55000000000000004">
      <c r="B57" s="10"/>
      <c r="C57" s="10" t="s">
        <v>62</v>
      </c>
      <c r="D57" s="2">
        <v>90526761300</v>
      </c>
      <c r="E57" s="2">
        <v>-4980595958</v>
      </c>
      <c r="F57" s="2">
        <v>0</v>
      </c>
      <c r="G57" s="2"/>
      <c r="H57" s="2"/>
      <c r="I57" s="2"/>
      <c r="J57" s="2">
        <v>4980595959</v>
      </c>
      <c r="K57" s="2">
        <v>90526761300</v>
      </c>
      <c r="L57" s="2"/>
      <c r="M57" s="2"/>
    </row>
    <row r="58" spans="2:13" s="9" customFormat="1" ht="19.5" x14ac:dyDescent="0.55000000000000004">
      <c r="B58" s="10"/>
      <c r="C58" s="10" t="s">
        <v>63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ht="19.5" x14ac:dyDescent="0.55000000000000004">
      <c r="B59" s="3"/>
      <c r="C59" s="3" t="s">
        <v>64</v>
      </c>
      <c r="D59" s="1">
        <v>5392822450</v>
      </c>
      <c r="E59" s="1">
        <v>-787367450</v>
      </c>
      <c r="F59" s="1" t="s">
        <v>65</v>
      </c>
      <c r="G59" s="1"/>
      <c r="H59" s="1"/>
      <c r="I59" s="1"/>
      <c r="J59" s="1">
        <v>787367450</v>
      </c>
      <c r="K59" s="1">
        <v>5392822450</v>
      </c>
      <c r="L59" s="1"/>
      <c r="M59" s="1"/>
    </row>
    <row r="60" spans="2:13" ht="19.5" x14ac:dyDescent="0.55000000000000004">
      <c r="B60" s="3"/>
      <c r="C60" s="3" t="s">
        <v>66</v>
      </c>
      <c r="D60" s="1">
        <v>95919583750</v>
      </c>
      <c r="E60" s="1">
        <v>-5767963408</v>
      </c>
      <c r="F60" s="1">
        <v>0</v>
      </c>
      <c r="G60" s="1"/>
      <c r="H60" s="1"/>
      <c r="I60" s="1"/>
      <c r="J60" s="1">
        <v>5767963409</v>
      </c>
      <c r="K60" s="1">
        <v>95919583750</v>
      </c>
      <c r="L60" s="1"/>
      <c r="M60" s="1"/>
    </row>
    <row r="61" spans="2:13" ht="19.5" x14ac:dyDescent="0.55000000000000004">
      <c r="B61" s="3"/>
      <c r="C61" s="3" t="s">
        <v>67</v>
      </c>
      <c r="D61" s="1">
        <v>7217200000</v>
      </c>
      <c r="E61" s="1" t="s">
        <v>68</v>
      </c>
      <c r="F61" s="1" t="s">
        <v>65</v>
      </c>
      <c r="G61" s="1"/>
      <c r="H61" s="1"/>
      <c r="I61" s="1"/>
      <c r="J61" s="1" t="s">
        <v>69</v>
      </c>
      <c r="K61" s="1">
        <v>7217200000</v>
      </c>
      <c r="L61" s="1"/>
      <c r="M61" s="1"/>
    </row>
    <row r="62" spans="2:13" ht="19.5" x14ac:dyDescent="0.55000000000000004">
      <c r="B62" s="3"/>
      <c r="C62" s="3" t="s">
        <v>70</v>
      </c>
      <c r="D62" s="1">
        <v>103136783750</v>
      </c>
      <c r="E62" s="1">
        <v>-5767963408</v>
      </c>
      <c r="F62" s="1">
        <v>0</v>
      </c>
      <c r="G62" s="1"/>
      <c r="H62" s="1"/>
      <c r="I62" s="1"/>
      <c r="J62" s="1">
        <v>5767963409</v>
      </c>
      <c r="K62" s="1">
        <v>103136783750</v>
      </c>
      <c r="L62" s="1"/>
      <c r="M62" s="1"/>
    </row>
    <row r="63" spans="2:13" ht="19.5" x14ac:dyDescent="0.55000000000000004">
      <c r="B63" s="3"/>
      <c r="C63" s="3" t="s">
        <v>71</v>
      </c>
      <c r="D63" s="1"/>
      <c r="E63" s="1"/>
      <c r="F63" s="1">
        <v>-1625330843</v>
      </c>
      <c r="G63" s="1"/>
      <c r="H63" s="1"/>
      <c r="I63" s="1"/>
      <c r="J63" s="1">
        <v>-0.02</v>
      </c>
      <c r="K63" s="1"/>
      <c r="L63" s="1"/>
      <c r="M63" s="1"/>
    </row>
    <row r="64" spans="2:13" ht="19.5" x14ac:dyDescent="0.55000000000000004"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4:13" ht="19.5" x14ac:dyDescent="0.55000000000000004"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4:13" ht="19.5" x14ac:dyDescent="0.55000000000000004"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4:13" ht="19.5" x14ac:dyDescent="0.55000000000000004"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4:13" ht="19.5" x14ac:dyDescent="0.55000000000000004"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4:13" ht="19.5" x14ac:dyDescent="0.55000000000000004"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4:13" ht="19.5" x14ac:dyDescent="0.55000000000000004"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4:13" ht="19.5" x14ac:dyDescent="0.55000000000000004"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4:13" ht="19.5" x14ac:dyDescent="0.55000000000000004"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4:13" ht="19.5" x14ac:dyDescent="0.55000000000000004"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4:13" ht="19.5" x14ac:dyDescent="0.55000000000000004"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4:13" ht="19.5" x14ac:dyDescent="0.55000000000000004"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4:13" ht="19.5" x14ac:dyDescent="0.55000000000000004"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4:13" ht="19.5" x14ac:dyDescent="0.55000000000000004"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4:13" ht="19.5" x14ac:dyDescent="0.55000000000000004"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4:13" ht="19.5" x14ac:dyDescent="0.55000000000000004"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4:13" ht="19.5" x14ac:dyDescent="0.55000000000000004"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4:13" ht="19.5" x14ac:dyDescent="0.55000000000000004"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4:13" ht="19.5" x14ac:dyDescent="0.55000000000000004"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4:13" ht="19.5" x14ac:dyDescent="0.55000000000000004"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4:13" ht="19.5" x14ac:dyDescent="0.55000000000000004"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4:13" ht="19.5" x14ac:dyDescent="0.55000000000000004"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4:13" ht="19.5" x14ac:dyDescent="0.55000000000000004"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4:13" ht="19.5" x14ac:dyDescent="0.55000000000000004"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4:13" ht="19.5" x14ac:dyDescent="0.55000000000000004"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4:13" ht="19.5" x14ac:dyDescent="0.55000000000000004"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4:13" ht="19.5" x14ac:dyDescent="0.55000000000000004"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4:13" ht="19.5" x14ac:dyDescent="0.55000000000000004"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4:13" ht="19.5" x14ac:dyDescent="0.55000000000000004"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4:13" ht="19.5" x14ac:dyDescent="0.55000000000000004"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4:13" ht="19.5" x14ac:dyDescent="0.55000000000000004"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4:13" ht="19.5" x14ac:dyDescent="0.55000000000000004"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4:13" ht="19.5" x14ac:dyDescent="0.55000000000000004"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4:13" ht="19.5" x14ac:dyDescent="0.55000000000000004"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4:13" ht="19.5" x14ac:dyDescent="0.55000000000000004"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4:13" ht="19.5" x14ac:dyDescent="0.55000000000000004"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4:13" ht="19.5" x14ac:dyDescent="0.55000000000000004"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4:13" ht="19.5" x14ac:dyDescent="0.55000000000000004">
      <c r="D101" s="1"/>
      <c r="E101" s="1"/>
      <c r="F101" s="1"/>
      <c r="G101" s="1"/>
      <c r="H101" s="1"/>
      <c r="I101" s="1"/>
      <c r="J101" s="1"/>
      <c r="K101" s="1"/>
      <c r="L101" s="1"/>
      <c r="M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Wkg(1)</vt:lpstr>
      <vt:lpstr>Orig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Poleen Nuwagaba</dc:creator>
  <cp:lastModifiedBy>Poleen Nuwagaba</cp:lastModifiedBy>
  <cp:lastPrinted>2025-03-18T11:46:43Z</cp:lastPrinted>
  <dcterms:created xsi:type="dcterms:W3CDTF">2025-03-12T14:23:25Z</dcterms:created>
  <dcterms:modified xsi:type="dcterms:W3CDTF">2025-03-24T08:36:41Z</dcterms:modified>
</cp:coreProperties>
</file>